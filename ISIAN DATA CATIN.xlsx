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Other computers\My Laptop\FILE PELAYANAN\N 2026\N JULI 2026\"/>
    </mc:Choice>
  </mc:AlternateContent>
  <bookViews>
    <workbookView xWindow="0" yWindow="0" windowWidth="20490" windowHeight="7155"/>
  </bookViews>
  <sheets>
    <sheet name="ISIAN 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7" i="1" l="1"/>
  <c r="K54" i="1"/>
  <c r="K36" i="1"/>
  <c r="K28" i="1"/>
  <c r="K10" i="1"/>
  <c r="I4" i="1"/>
</calcChain>
</file>

<file path=xl/sharedStrings.xml><?xml version="1.0" encoding="utf-8"?>
<sst xmlns="http://schemas.openxmlformats.org/spreadsheetml/2006/main" count="206" uniqueCount="89">
  <si>
    <t xml:space="preserve"> </t>
  </si>
  <si>
    <t>NOMOR REGISTER</t>
  </si>
  <si>
    <t>:</t>
  </si>
  <si>
    <t xml:space="preserve">400.12.3.2/006/ VII/ 2026 </t>
  </si>
  <si>
    <t>TANGGAL SURAT</t>
  </si>
  <si>
    <t>TAMBI</t>
  </si>
  <si>
    <t>, 27 JULI 2026</t>
  </si>
  <si>
    <t>TANGGAL PELAKSANAAN</t>
  </si>
  <si>
    <t>EMAIL CATIN</t>
  </si>
  <si>
    <t>JAM</t>
  </si>
  <si>
    <t>JAM.  08.00</t>
  </si>
  <si>
    <t>TEMPAT AKAD NIKAH</t>
  </si>
  <si>
    <t>DI RUMAH MEMPELAI PUTRI RT 002 RW 004 DESA TAMBI WATUKUMPUL PEMALANG</t>
  </si>
  <si>
    <t>NAMA CALON PENGANTIN LAKI-LAKI</t>
  </si>
  <si>
    <t>UNWAN FALAHI</t>
  </si>
  <si>
    <t>BIN</t>
  </si>
  <si>
    <t>RATAM</t>
  </si>
  <si>
    <t>TEMPAT TANGGAL LAHIR</t>
  </si>
  <si>
    <t>PEMALANG, 23 JUNI 1997</t>
  </si>
  <si>
    <t>UMUR</t>
  </si>
  <si>
    <t>NIK</t>
  </si>
  <si>
    <t>3327042306970003</t>
  </si>
  <si>
    <t>PEKERJAAN</t>
  </si>
  <si>
    <t>BURUH HARIAN LEPAS</t>
  </si>
  <si>
    <t>SETATUS</t>
  </si>
  <si>
    <t>BELUM KAWIN</t>
  </si>
  <si>
    <t>JENIS KELAMIN</t>
  </si>
  <si>
    <t>Laki-Laki</t>
  </si>
  <si>
    <t>NAMA ISTRI TERDAHULU</t>
  </si>
  <si>
    <t>ALAMAT</t>
  </si>
  <si>
    <t>RT 002 RW 001 DESA TAMBI KECAMATAN WATUKUMPUL KABUPATEN PEMALANG</t>
  </si>
  <si>
    <t>PENDIDIKAN</t>
  </si>
  <si>
    <t>SD</t>
  </si>
  <si>
    <t>NAMA AYAH LAKI-LAKI</t>
  </si>
  <si>
    <t>bin</t>
  </si>
  <si>
    <t>MURTAJA</t>
  </si>
  <si>
    <t>3327040308660001</t>
  </si>
  <si>
    <t>PEMALANG, 03 AGUSTUS 1966</t>
  </si>
  <si>
    <t>PETANI/ PEKEBUN</t>
  </si>
  <si>
    <t>NAMA IBU LAKI-LAKI</t>
  </si>
  <si>
    <t>DASRI</t>
  </si>
  <si>
    <t>KARTADIWIRYA</t>
  </si>
  <si>
    <t>3327045104690001</t>
  </si>
  <si>
    <t>PEMALANG, 11 APRIL 1969</t>
  </si>
  <si>
    <t>Mengurus Rumah Tangga</t>
  </si>
  <si>
    <t>NAMA CALON PENGANTIN PEREMPUAN</t>
  </si>
  <si>
    <t>IKNA SABELA</t>
  </si>
  <si>
    <t>BINTI</t>
  </si>
  <si>
    <t>WARYONO</t>
  </si>
  <si>
    <t>PEMALANG, 05 OKTOBER 2008</t>
  </si>
  <si>
    <t>Umur</t>
  </si>
  <si>
    <t>3327044510080002</t>
  </si>
  <si>
    <t>BELUM/ TIDAK BEKERJA</t>
  </si>
  <si>
    <t>PEREMPUAN</t>
  </si>
  <si>
    <t>RT 003 RW 001 DESA TAMBI KECAMATAN WATUKUMPUL KABUPATEN PEMALANG</t>
  </si>
  <si>
    <t>NAMA SUAMI TERDHULU</t>
  </si>
  <si>
    <t>NAMA AYAH PEREMPUAN</t>
  </si>
  <si>
    <t>MURSIDI</t>
  </si>
  <si>
    <t>3327041209810002</t>
  </si>
  <si>
    <t>PEMALANG, 12 SEPTEMBER 1981</t>
  </si>
  <si>
    <t>NAMA IBU PEREMPUAN</t>
  </si>
  <si>
    <t>DEWI MURIYAH</t>
  </si>
  <si>
    <t>SUWARNO</t>
  </si>
  <si>
    <t>3327044302900010</t>
  </si>
  <si>
    <t>PEMALANG 03 FEBRUARI 1990</t>
  </si>
  <si>
    <t>Nama Wali</t>
  </si>
  <si>
    <t>3327040107740063</t>
  </si>
  <si>
    <t>Tempat Tanggal Lahir</t>
  </si>
  <si>
    <t>PEMALANG, 12 SEPTEMBER 1999</t>
  </si>
  <si>
    <t>Pekerjaan</t>
  </si>
  <si>
    <t>Alamat</t>
  </si>
  <si>
    <t>Hubungan</t>
  </si>
  <si>
    <t>AYAH KANDUNG</t>
  </si>
  <si>
    <t>Mahar</t>
  </si>
  <si>
    <t>Maskawin</t>
  </si>
  <si>
    <t>Wali</t>
  </si>
  <si>
    <t>WARYONO BIN MURSIDI</t>
  </si>
  <si>
    <t>Nama Saksi 1</t>
  </si>
  <si>
    <t>WARTIM</t>
  </si>
  <si>
    <t>Tempat, tanggal lahir</t>
  </si>
  <si>
    <t>PEMALANG 16 MEI 1987</t>
  </si>
  <si>
    <t>3327041605870003</t>
  </si>
  <si>
    <t>WIRASWASTA</t>
  </si>
  <si>
    <t>Nama Saksi 2</t>
  </si>
  <si>
    <t>CHALIM MUCHTAROM</t>
  </si>
  <si>
    <t>PEMALANG, 21 OKTOBER 1989</t>
  </si>
  <si>
    <t>3327042110890004</t>
  </si>
  <si>
    <t>PERANGKAT DESA</t>
  </si>
  <si>
    <t>RT 002 RW 001 DESA TAMBI KEC. WATUKUMPUL KAB. PEMALANG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</si>
</sst>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 mmmm\ yyyy"/>
  </numFmts>
  <fonts count="8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1"/>
      <color theme="1"/>
      <name val="Arial"/>
      <family val="2"/>
    </font>
    <font>
      <sz val="11"/>
      <color rgb="FF00206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</font>
    <font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rgb="FFC4BD97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1"/>
    <xf numFmtId="0" fontId="3" fillId="0" borderId="0" xfId="0" applyFont="1"/>
    <xf numFmtId="164" fontId="0" fillId="0" borderId="0" xfId="0" applyNumberFormat="1" applyAlignment="1">
      <alignment horizontal="left"/>
    </xf>
    <xf numFmtId="0" fontId="0" fillId="0" borderId="1" xfId="0" applyBorder="1"/>
    <xf numFmtId="0" fontId="0" fillId="0" borderId="2" xfId="0" applyBorder="1"/>
    <xf numFmtId="0" fontId="4" fillId="2" borderId="0" xfId="0" applyFont="1" applyFill="1"/>
    <xf numFmtId="0" fontId="5" fillId="2" borderId="0" xfId="0" applyFont="1" applyFill="1"/>
    <xf numFmtId="0" fontId="4" fillId="2" borderId="0" xfId="0" applyFont="1" applyFill="1" applyAlignment="1">
      <alignment horizontal="center" wrapText="1"/>
    </xf>
    <xf numFmtId="49" fontId="6" fillId="3" borderId="0" xfId="0" applyNumberFormat="1" applyFont="1" applyFill="1" applyBorder="1" applyAlignment="1">
      <alignment horizontal="left" vertical="center"/>
    </xf>
    <xf numFmtId="0" fontId="0" fillId="2" borderId="0" xfId="0" applyFill="1"/>
    <xf numFmtId="49" fontId="0" fillId="0" borderId="0" xfId="0" quotePrefix="1" applyNumberFormat="1"/>
    <xf numFmtId="0" fontId="7" fillId="4" borderId="0" xfId="0" applyFont="1" applyFill="1"/>
    <xf numFmtId="0" fontId="5" fillId="4" borderId="0" xfId="0" applyFont="1" applyFill="1"/>
    <xf numFmtId="0" fontId="0" fillId="0" borderId="2" xfId="0" applyBorder="1" applyAlignment="1">
      <alignment horizontal="center"/>
    </xf>
    <xf numFmtId="0" fontId="0" fillId="4" borderId="0" xfId="0" applyFill="1"/>
    <xf numFmtId="0" fontId="3" fillId="0" borderId="0" xfId="0" applyFont="1" applyAlignment="1">
      <alignment horizontal="center"/>
    </xf>
    <xf numFmtId="0" fontId="0" fillId="0" borderId="0" xfId="0" quotePrefix="1"/>
    <xf numFmtId="49" fontId="0" fillId="0" borderId="0" xfId="0" applyNumberFormat="1"/>
  </cellXfs>
  <cellStyles count="2">
    <cellStyle name="Hyperlink" xfId="1" builtinId="8"/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80"/>
  <sheetViews>
    <sheetView tabSelected="1" zoomScaleNormal="100" workbookViewId="0">
      <selection activeCell="G13" sqref="G13"/>
    </sheetView>
  </sheetViews>
  <sheetFormatPr defaultRowHeight="15" x14ac:dyDescent="0.25"/>
  <cols>
    <col min="1" max="1" width="5.42578125" style="1" customWidth="1"/>
    <col min="6" max="6" width="4.42578125" customWidth="1"/>
    <col min="7" max="7" width="18" bestFit="1" customWidth="1"/>
  </cols>
  <sheetData>
    <row r="2" spans="1:17" x14ac:dyDescent="0.25">
      <c r="A2" s="1" t="s">
        <v>0</v>
      </c>
      <c r="B2" s="2" t="s">
        <v>1</v>
      </c>
      <c r="C2" s="2"/>
      <c r="F2" t="s">
        <v>2</v>
      </c>
      <c r="G2" t="s">
        <v>3</v>
      </c>
      <c r="P2" s="3"/>
      <c r="Q2" s="4"/>
    </row>
    <row r="3" spans="1:17" ht="15.75" thickBot="1" x14ac:dyDescent="0.3">
      <c r="B3" s="2" t="s">
        <v>4</v>
      </c>
      <c r="C3" s="2"/>
      <c r="F3" t="s">
        <v>2</v>
      </c>
      <c r="G3" t="s">
        <v>5</v>
      </c>
      <c r="H3" t="s">
        <v>6</v>
      </c>
      <c r="P3" s="3"/>
      <c r="Q3" s="4"/>
    </row>
    <row r="4" spans="1:17" ht="15.75" thickBot="1" x14ac:dyDescent="0.3">
      <c r="B4" s="2" t="s">
        <v>7</v>
      </c>
      <c r="C4" s="2"/>
      <c r="F4" t="s">
        <v>2</v>
      </c>
      <c r="G4" s="5">
        <v>46254</v>
      </c>
      <c r="I4" s="6" t="str">
        <f>CHOOSE(WEEKDAY(G4), "Minggu", "Senin", "Selasa", "Rabu", "Kamis", "Jumat", "Sabtu")</f>
        <v>Kamis</v>
      </c>
      <c r="K4" t="s">
        <v>8</v>
      </c>
      <c r="P4" s="3"/>
      <c r="Q4" s="4"/>
    </row>
    <row r="5" spans="1:17" x14ac:dyDescent="0.25">
      <c r="B5" s="2" t="s">
        <v>9</v>
      </c>
      <c r="C5" s="2"/>
      <c r="F5" t="s">
        <v>2</v>
      </c>
      <c r="G5" t="s">
        <v>10</v>
      </c>
      <c r="K5" s="7"/>
      <c r="P5" s="3"/>
      <c r="Q5" s="4"/>
    </row>
    <row r="6" spans="1:17" x14ac:dyDescent="0.25">
      <c r="B6" s="2" t="s">
        <v>11</v>
      </c>
      <c r="C6" s="2"/>
      <c r="F6" t="s">
        <v>2</v>
      </c>
      <c r="G6" t="s">
        <v>12</v>
      </c>
      <c r="P6" s="3"/>
      <c r="Q6" s="4"/>
    </row>
    <row r="7" spans="1:17" x14ac:dyDescent="0.25">
      <c r="B7" s="2"/>
      <c r="C7" s="2"/>
      <c r="P7" s="3"/>
      <c r="Q7" s="4"/>
    </row>
    <row r="8" spans="1:17" x14ac:dyDescent="0.25">
      <c r="A8" s="1">
        <v>1</v>
      </c>
      <c r="B8" s="8" t="s">
        <v>13</v>
      </c>
      <c r="C8" s="9"/>
      <c r="D8" s="9"/>
      <c r="E8" s="9"/>
      <c r="F8" t="s">
        <v>2</v>
      </c>
      <c r="G8" t="s">
        <v>14</v>
      </c>
      <c r="P8" s="3"/>
      <c r="Q8" s="4"/>
    </row>
    <row r="9" spans="1:17" x14ac:dyDescent="0.25">
      <c r="A9" s="1">
        <v>2</v>
      </c>
      <c r="B9" s="8" t="s">
        <v>15</v>
      </c>
      <c r="C9" s="8"/>
      <c r="D9" s="8"/>
      <c r="E9" s="8"/>
      <c r="F9" t="s">
        <v>2</v>
      </c>
      <c r="G9" t="s">
        <v>16</v>
      </c>
      <c r="P9" s="3"/>
      <c r="Q9" s="4"/>
    </row>
    <row r="10" spans="1:17" x14ac:dyDescent="0.25">
      <c r="A10" s="1">
        <v>3</v>
      </c>
      <c r="B10" s="8" t="s">
        <v>17</v>
      </c>
      <c r="C10" s="8"/>
      <c r="D10" s="8"/>
      <c r="E10" s="10" t="s">
        <v>0</v>
      </c>
      <c r="F10" t="s">
        <v>2</v>
      </c>
      <c r="G10" t="s">
        <v>18</v>
      </c>
      <c r="J10" t="s">
        <v>19</v>
      </c>
      <c r="K10" s="7">
        <f>2026-1997</f>
        <v>29</v>
      </c>
      <c r="P10" s="3"/>
      <c r="Q10" s="4"/>
    </row>
    <row r="11" spans="1:17" x14ac:dyDescent="0.25">
      <c r="A11" s="1">
        <v>4</v>
      </c>
      <c r="B11" s="8" t="s">
        <v>20</v>
      </c>
      <c r="C11" s="8"/>
      <c r="D11" s="8"/>
      <c r="E11" s="8"/>
      <c r="F11" t="s">
        <v>2</v>
      </c>
      <c r="G11" s="11" t="s">
        <v>21</v>
      </c>
      <c r="P11" s="3"/>
      <c r="Q11" s="4"/>
    </row>
    <row r="12" spans="1:17" x14ac:dyDescent="0.25">
      <c r="A12" s="1">
        <v>5</v>
      </c>
      <c r="B12" s="8" t="s">
        <v>22</v>
      </c>
      <c r="C12" s="8"/>
      <c r="D12" s="8"/>
      <c r="E12" s="8"/>
      <c r="F12" t="s">
        <v>2</v>
      </c>
      <c r="G12" t="s">
        <v>23</v>
      </c>
      <c r="P12" s="3"/>
      <c r="Q12" s="4"/>
    </row>
    <row r="13" spans="1:17" x14ac:dyDescent="0.25">
      <c r="A13" s="1">
        <v>6</v>
      </c>
      <c r="B13" s="8" t="s">
        <v>24</v>
      </c>
      <c r="C13" s="8"/>
      <c r="D13" s="8"/>
      <c r="E13" s="8"/>
      <c r="F13" t="s">
        <v>2</v>
      </c>
      <c r="G13" t="s">
        <v>25</v>
      </c>
      <c r="P13" s="3"/>
      <c r="Q13" s="4"/>
    </row>
    <row r="14" spans="1:17" x14ac:dyDescent="0.25">
      <c r="A14" s="1">
        <v>7</v>
      </c>
      <c r="B14" s="8" t="s">
        <v>26</v>
      </c>
      <c r="C14" s="8"/>
      <c r="D14" s="8"/>
      <c r="E14" s="8"/>
      <c r="F14" t="s">
        <v>2</v>
      </c>
      <c r="G14" t="s">
        <v>27</v>
      </c>
      <c r="P14" s="3"/>
      <c r="Q14" s="4"/>
    </row>
    <row r="15" spans="1:17" x14ac:dyDescent="0.25">
      <c r="A15" s="1">
        <v>8</v>
      </c>
      <c r="B15" s="8" t="s">
        <v>28</v>
      </c>
      <c r="C15" s="8"/>
      <c r="D15" s="8"/>
      <c r="E15" s="8"/>
      <c r="F15" t="s">
        <v>2</v>
      </c>
      <c r="G15" t="s">
        <v>0</v>
      </c>
      <c r="P15" s="3"/>
    </row>
    <row r="16" spans="1:17" x14ac:dyDescent="0.25">
      <c r="A16" s="1">
        <v>9</v>
      </c>
      <c r="B16" s="8" t="s">
        <v>29</v>
      </c>
      <c r="C16" s="8"/>
      <c r="D16" s="8"/>
      <c r="E16" s="8"/>
      <c r="F16" t="s">
        <v>2</v>
      </c>
      <c r="G16" t="s">
        <v>30</v>
      </c>
      <c r="P16" s="3"/>
    </row>
    <row r="17" spans="1:16" x14ac:dyDescent="0.25">
      <c r="A17" s="1">
        <v>10</v>
      </c>
      <c r="B17" s="8" t="s">
        <v>31</v>
      </c>
      <c r="C17" s="8"/>
      <c r="D17" s="8"/>
      <c r="E17" s="8"/>
      <c r="F17" t="s">
        <v>2</v>
      </c>
      <c r="G17" t="s">
        <v>32</v>
      </c>
      <c r="P17" s="3"/>
    </row>
    <row r="18" spans="1:16" x14ac:dyDescent="0.25">
      <c r="B18" t="s">
        <v>0</v>
      </c>
      <c r="P18" s="3"/>
    </row>
    <row r="19" spans="1:16" x14ac:dyDescent="0.25">
      <c r="A19" s="1">
        <v>1</v>
      </c>
      <c r="B19" s="8" t="s">
        <v>33</v>
      </c>
      <c r="C19" s="12"/>
      <c r="D19" s="12"/>
      <c r="E19" s="12"/>
      <c r="F19" t="s">
        <v>2</v>
      </c>
      <c r="G19" t="s">
        <v>16</v>
      </c>
      <c r="I19" t="s">
        <v>34</v>
      </c>
      <c r="J19" t="s">
        <v>35</v>
      </c>
    </row>
    <row r="20" spans="1:16" x14ac:dyDescent="0.25">
      <c r="A20" s="1">
        <v>2</v>
      </c>
      <c r="B20" s="8" t="s">
        <v>20</v>
      </c>
      <c r="C20" s="12"/>
      <c r="D20" s="12"/>
      <c r="E20" s="12"/>
      <c r="F20" t="s">
        <v>2</v>
      </c>
      <c r="G20" s="13" t="s">
        <v>36</v>
      </c>
    </row>
    <row r="21" spans="1:16" x14ac:dyDescent="0.25">
      <c r="A21" s="1">
        <v>3</v>
      </c>
      <c r="B21" s="8" t="s">
        <v>17</v>
      </c>
      <c r="C21" s="12"/>
      <c r="D21" s="12"/>
      <c r="E21" s="12"/>
      <c r="F21" t="s">
        <v>2</v>
      </c>
      <c r="G21" t="s">
        <v>37</v>
      </c>
    </row>
    <row r="22" spans="1:16" x14ac:dyDescent="0.25">
      <c r="A22" s="1">
        <v>4</v>
      </c>
      <c r="B22" s="8" t="s">
        <v>22</v>
      </c>
      <c r="C22" s="12"/>
      <c r="D22" s="12"/>
      <c r="E22" s="12"/>
      <c r="F22" t="s">
        <v>2</v>
      </c>
      <c r="G22" t="s">
        <v>38</v>
      </c>
    </row>
    <row r="23" spans="1:16" x14ac:dyDescent="0.25">
      <c r="A23" s="1">
        <v>5</v>
      </c>
      <c r="B23" s="8" t="s">
        <v>29</v>
      </c>
      <c r="C23" s="12"/>
      <c r="D23" s="12"/>
      <c r="E23" s="12"/>
      <c r="F23" t="s">
        <v>2</v>
      </c>
      <c r="G23" t="s">
        <v>30</v>
      </c>
    </row>
    <row r="26" spans="1:16" x14ac:dyDescent="0.25">
      <c r="A26" s="1">
        <v>1</v>
      </c>
      <c r="B26" s="8" t="s">
        <v>39</v>
      </c>
      <c r="C26" s="12"/>
      <c r="D26" s="12"/>
      <c r="E26" s="12"/>
      <c r="G26" t="s">
        <v>40</v>
      </c>
      <c r="H26" t="s">
        <v>15</v>
      </c>
      <c r="I26" t="s">
        <v>41</v>
      </c>
    </row>
    <row r="27" spans="1:16" x14ac:dyDescent="0.25">
      <c r="A27" s="1">
        <v>2</v>
      </c>
      <c r="B27" s="8" t="s">
        <v>20</v>
      </c>
      <c r="C27" s="12"/>
      <c r="D27" s="12"/>
      <c r="E27" s="12"/>
      <c r="G27" s="13" t="s">
        <v>42</v>
      </c>
    </row>
    <row r="28" spans="1:16" x14ac:dyDescent="0.25">
      <c r="A28" s="1">
        <v>3</v>
      </c>
      <c r="B28" s="8" t="s">
        <v>17</v>
      </c>
      <c r="C28" s="12"/>
      <c r="D28" s="12"/>
      <c r="E28" s="12"/>
      <c r="G28" t="s">
        <v>43</v>
      </c>
      <c r="K28" s="7">
        <f ca="1">DATEDIF(DATEVALUE(MID(G28, FIND(",", G28) + 2, LEN(G28))), TODAY(), "Y")</f>
        <v>57</v>
      </c>
    </row>
    <row r="29" spans="1:16" x14ac:dyDescent="0.25">
      <c r="A29" s="1">
        <v>4</v>
      </c>
      <c r="B29" s="8" t="s">
        <v>22</v>
      </c>
      <c r="C29" s="12"/>
      <c r="D29" s="12"/>
      <c r="E29" s="12"/>
      <c r="G29" t="s">
        <v>44</v>
      </c>
    </row>
    <row r="30" spans="1:16" x14ac:dyDescent="0.25">
      <c r="A30" s="1">
        <v>5</v>
      </c>
      <c r="B30" s="8" t="s">
        <v>29</v>
      </c>
      <c r="C30" s="12"/>
      <c r="D30" s="12"/>
      <c r="E30" s="12"/>
      <c r="G30" t="s">
        <v>30</v>
      </c>
    </row>
    <row r="34" spans="1:11" x14ac:dyDescent="0.25">
      <c r="A34" s="1">
        <v>1</v>
      </c>
      <c r="B34" s="14" t="s">
        <v>45</v>
      </c>
      <c r="C34" s="15"/>
      <c r="D34" s="15"/>
      <c r="E34" s="15"/>
      <c r="F34" t="s">
        <v>2</v>
      </c>
      <c r="G34" t="s">
        <v>46</v>
      </c>
    </row>
    <row r="35" spans="1:11" x14ac:dyDescent="0.25">
      <c r="A35" s="1">
        <v>2</v>
      </c>
      <c r="B35" s="14" t="s">
        <v>47</v>
      </c>
      <c r="C35" s="14"/>
      <c r="D35" s="14"/>
      <c r="E35" s="14"/>
      <c r="F35" t="s">
        <v>2</v>
      </c>
      <c r="G35" t="s">
        <v>48</v>
      </c>
    </row>
    <row r="36" spans="1:11" x14ac:dyDescent="0.25">
      <c r="A36" s="1">
        <v>3</v>
      </c>
      <c r="B36" s="14" t="s">
        <v>17</v>
      </c>
      <c r="C36" s="14"/>
      <c r="D36" s="14"/>
      <c r="E36" s="14"/>
      <c r="F36" t="s">
        <v>2</v>
      </c>
      <c r="G36" t="s">
        <v>49</v>
      </c>
      <c r="J36" t="s">
        <v>50</v>
      </c>
      <c r="K36" s="16" t="e">
        <f ca="1">DATEDIF(DATEVALUE(MID(G36, FIND(",", G36) + 2, LEN(G36))), TODAY(), "Y")</f>
        <v>#VALUE!</v>
      </c>
    </row>
    <row r="37" spans="1:11" x14ac:dyDescent="0.25">
      <c r="A37" s="1">
        <v>4</v>
      </c>
      <c r="B37" s="14" t="s">
        <v>20</v>
      </c>
      <c r="C37" s="14"/>
      <c r="D37" s="14"/>
      <c r="E37" s="14"/>
      <c r="F37" t="s">
        <v>2</v>
      </c>
      <c r="G37" s="13" t="s">
        <v>51</v>
      </c>
    </row>
    <row r="38" spans="1:11" x14ac:dyDescent="0.25">
      <c r="A38" s="1">
        <v>5</v>
      </c>
      <c r="B38" s="14" t="s">
        <v>22</v>
      </c>
      <c r="C38" s="14"/>
      <c r="D38" s="14"/>
      <c r="E38" s="14"/>
      <c r="F38" t="s">
        <v>2</v>
      </c>
      <c r="G38" t="s">
        <v>52</v>
      </c>
    </row>
    <row r="39" spans="1:11" x14ac:dyDescent="0.25">
      <c r="A39" s="1">
        <v>6</v>
      </c>
      <c r="B39" s="14" t="s">
        <v>24</v>
      </c>
      <c r="C39" s="14"/>
      <c r="D39" s="14"/>
      <c r="E39" s="14"/>
      <c r="F39" t="s">
        <v>2</v>
      </c>
      <c r="G39" t="s">
        <v>25</v>
      </c>
    </row>
    <row r="40" spans="1:11" x14ac:dyDescent="0.25">
      <c r="A40" s="1">
        <v>7</v>
      </c>
      <c r="B40" s="14" t="s">
        <v>26</v>
      </c>
      <c r="C40" s="14"/>
      <c r="D40" s="14"/>
      <c r="E40" s="14"/>
      <c r="F40" t="s">
        <v>2</v>
      </c>
      <c r="G40" t="s">
        <v>53</v>
      </c>
    </row>
    <row r="41" spans="1:11" x14ac:dyDescent="0.25">
      <c r="A41" s="1">
        <v>8</v>
      </c>
      <c r="B41" s="14" t="s">
        <v>29</v>
      </c>
      <c r="C41" s="14"/>
      <c r="D41" s="14"/>
      <c r="E41" s="14"/>
      <c r="F41" t="s">
        <v>2</v>
      </c>
      <c r="G41" t="s">
        <v>54</v>
      </c>
    </row>
    <row r="42" spans="1:11" x14ac:dyDescent="0.25">
      <c r="A42" s="1">
        <v>9</v>
      </c>
      <c r="B42" s="14" t="s">
        <v>55</v>
      </c>
      <c r="C42" s="14"/>
      <c r="D42" s="14"/>
      <c r="E42" s="14"/>
      <c r="F42" t="s">
        <v>2</v>
      </c>
    </row>
    <row r="43" spans="1:11" x14ac:dyDescent="0.25">
      <c r="A43" s="1">
        <v>10</v>
      </c>
      <c r="B43" s="14" t="s">
        <v>31</v>
      </c>
      <c r="C43" s="14"/>
      <c r="D43" s="14"/>
      <c r="E43" s="14"/>
      <c r="F43" t="s">
        <v>2</v>
      </c>
      <c r="G43" t="s">
        <v>32</v>
      </c>
    </row>
    <row r="44" spans="1:11" x14ac:dyDescent="0.25">
      <c r="B44" s="17"/>
      <c r="C44" s="17"/>
      <c r="D44" s="17"/>
      <c r="E44" s="17"/>
    </row>
    <row r="45" spans="1:11" x14ac:dyDescent="0.25">
      <c r="A45" s="1">
        <v>1</v>
      </c>
      <c r="B45" s="15" t="s">
        <v>56</v>
      </c>
      <c r="C45" s="15"/>
      <c r="D45" s="15"/>
      <c r="E45" s="17"/>
      <c r="F45" t="s">
        <v>2</v>
      </c>
      <c r="G45" t="s">
        <v>48</v>
      </c>
      <c r="H45" t="s">
        <v>15</v>
      </c>
      <c r="I45" s="7" t="s">
        <v>57</v>
      </c>
    </row>
    <row r="46" spans="1:11" x14ac:dyDescent="0.25">
      <c r="A46" s="1">
        <v>2</v>
      </c>
      <c r="B46" s="17" t="s">
        <v>20</v>
      </c>
      <c r="C46" s="17"/>
      <c r="D46" s="17"/>
      <c r="E46" s="17"/>
      <c r="F46" t="s">
        <v>2</v>
      </c>
      <c r="G46" s="13" t="s">
        <v>58</v>
      </c>
    </row>
    <row r="47" spans="1:11" x14ac:dyDescent="0.25">
      <c r="A47" s="1">
        <v>3</v>
      </c>
      <c r="B47" s="17" t="s">
        <v>17</v>
      </c>
      <c r="C47" s="17"/>
      <c r="D47" s="17"/>
      <c r="E47" s="17"/>
      <c r="F47" t="s">
        <v>2</v>
      </c>
      <c r="G47" t="s">
        <v>59</v>
      </c>
      <c r="J47" t="s">
        <v>50</v>
      </c>
      <c r="K47" s="16"/>
    </row>
    <row r="48" spans="1:11" x14ac:dyDescent="0.25">
      <c r="A48" s="1">
        <v>4</v>
      </c>
      <c r="B48" s="17" t="s">
        <v>22</v>
      </c>
      <c r="C48" s="17"/>
      <c r="D48" s="17"/>
      <c r="E48" s="17"/>
      <c r="F48" t="s">
        <v>2</v>
      </c>
      <c r="G48" t="s">
        <v>38</v>
      </c>
    </row>
    <row r="49" spans="1:11" x14ac:dyDescent="0.25">
      <c r="A49" s="1">
        <v>5</v>
      </c>
      <c r="B49" s="17" t="s">
        <v>29</v>
      </c>
      <c r="C49" s="17"/>
      <c r="D49" s="17"/>
      <c r="E49" s="17"/>
      <c r="F49" t="s">
        <v>2</v>
      </c>
      <c r="G49" t="s">
        <v>54</v>
      </c>
    </row>
    <row r="50" spans="1:11" x14ac:dyDescent="0.25">
      <c r="B50" s="17"/>
      <c r="C50" s="17"/>
      <c r="D50" s="17"/>
      <c r="E50" s="17"/>
    </row>
    <row r="51" spans="1:11" x14ac:dyDescent="0.25">
      <c r="B51" s="17"/>
      <c r="C51" s="17"/>
      <c r="D51" s="17"/>
      <c r="E51" s="17"/>
    </row>
    <row r="52" spans="1:11" x14ac:dyDescent="0.25">
      <c r="A52" s="1">
        <v>1</v>
      </c>
      <c r="B52" s="15" t="s">
        <v>60</v>
      </c>
      <c r="C52" s="15"/>
      <c r="D52" s="15"/>
      <c r="E52" s="17"/>
      <c r="F52" t="s">
        <v>2</v>
      </c>
      <c r="G52" t="s">
        <v>61</v>
      </c>
      <c r="H52" t="s">
        <v>15</v>
      </c>
      <c r="I52" s="7" t="s">
        <v>62</v>
      </c>
    </row>
    <row r="53" spans="1:11" x14ac:dyDescent="0.25">
      <c r="A53" s="1">
        <v>2</v>
      </c>
      <c r="B53" s="17" t="s">
        <v>20</v>
      </c>
      <c r="C53" s="17"/>
      <c r="D53" s="17"/>
      <c r="E53" s="17"/>
      <c r="F53" t="s">
        <v>2</v>
      </c>
      <c r="G53" s="13" t="s">
        <v>63</v>
      </c>
    </row>
    <row r="54" spans="1:11" x14ac:dyDescent="0.25">
      <c r="A54" s="1">
        <v>3</v>
      </c>
      <c r="B54" s="17" t="s">
        <v>17</v>
      </c>
      <c r="C54" s="17"/>
      <c r="D54" s="17"/>
      <c r="E54" s="17"/>
      <c r="F54" t="s">
        <v>2</v>
      </c>
      <c r="G54" t="s">
        <v>64</v>
      </c>
      <c r="K54" s="7">
        <f ca="1">DATEDIF(DATEVALUE(TRIM(RIGHT(SUBSTITUTE(G47,",",REPT(" ",100)),100))), TODAY(), "y")</f>
        <v>44</v>
      </c>
    </row>
    <row r="55" spans="1:11" x14ac:dyDescent="0.25">
      <c r="A55" s="1">
        <v>4</v>
      </c>
      <c r="B55" s="17" t="s">
        <v>22</v>
      </c>
      <c r="C55" s="17"/>
      <c r="D55" s="17"/>
      <c r="E55" s="17"/>
      <c r="F55" t="s">
        <v>2</v>
      </c>
      <c r="G55" t="s">
        <v>44</v>
      </c>
    </row>
    <row r="56" spans="1:11" x14ac:dyDescent="0.25">
      <c r="A56" s="1">
        <v>5</v>
      </c>
      <c r="B56" t="s">
        <v>29</v>
      </c>
      <c r="F56" t="s">
        <v>2</v>
      </c>
      <c r="G56" t="s">
        <v>54</v>
      </c>
    </row>
    <row r="58" spans="1:11" x14ac:dyDescent="0.25">
      <c r="A58" s="1">
        <v>1</v>
      </c>
      <c r="B58" t="s">
        <v>65</v>
      </c>
      <c r="E58" s="18"/>
      <c r="F58" t="s">
        <v>2</v>
      </c>
      <c r="G58" t="s">
        <v>48</v>
      </c>
    </row>
    <row r="59" spans="1:11" x14ac:dyDescent="0.25">
      <c r="A59" s="1">
        <v>2</v>
      </c>
      <c r="B59" t="s">
        <v>15</v>
      </c>
      <c r="E59" s="18"/>
      <c r="F59" t="s">
        <v>2</v>
      </c>
      <c r="G59" s="19" t="s">
        <v>57</v>
      </c>
    </row>
    <row r="60" spans="1:11" x14ac:dyDescent="0.25">
      <c r="A60" s="1">
        <v>3</v>
      </c>
      <c r="B60" t="s">
        <v>20</v>
      </c>
      <c r="E60" s="18" t="s">
        <v>0</v>
      </c>
      <c r="F60" t="s">
        <v>2</v>
      </c>
      <c r="G60" s="13" t="s">
        <v>66</v>
      </c>
    </row>
    <row r="61" spans="1:11" x14ac:dyDescent="0.25">
      <c r="A61" s="1">
        <v>4</v>
      </c>
      <c r="B61" t="s">
        <v>67</v>
      </c>
      <c r="E61" s="18" t="s">
        <v>0</v>
      </c>
      <c r="F61" t="s">
        <v>2</v>
      </c>
      <c r="G61" t="s">
        <v>68</v>
      </c>
    </row>
    <row r="62" spans="1:11" x14ac:dyDescent="0.25">
      <c r="A62" s="1">
        <v>5</v>
      </c>
      <c r="B62" t="s">
        <v>69</v>
      </c>
      <c r="E62" s="18" t="s">
        <v>0</v>
      </c>
      <c r="F62" t="s">
        <v>2</v>
      </c>
      <c r="G62" t="s">
        <v>38</v>
      </c>
    </row>
    <row r="63" spans="1:11" x14ac:dyDescent="0.25">
      <c r="A63" s="1">
        <v>6</v>
      </c>
      <c r="B63" t="s">
        <v>70</v>
      </c>
      <c r="E63" s="18" t="s">
        <v>0</v>
      </c>
      <c r="F63" t="s">
        <v>2</v>
      </c>
      <c r="G63" t="s">
        <v>54</v>
      </c>
    </row>
    <row r="64" spans="1:11" x14ac:dyDescent="0.25">
      <c r="A64" s="1">
        <v>7</v>
      </c>
      <c r="B64" t="s">
        <v>71</v>
      </c>
      <c r="E64" s="18" t="s">
        <v>0</v>
      </c>
      <c r="F64" t="s">
        <v>2</v>
      </c>
      <c r="G64" t="s">
        <v>72</v>
      </c>
    </row>
    <row r="65" spans="1:11" x14ac:dyDescent="0.25">
      <c r="A65" s="1">
        <v>8</v>
      </c>
      <c r="B65" t="s">
        <v>73</v>
      </c>
      <c r="F65" t="s">
        <v>2</v>
      </c>
      <c r="G65" s="7"/>
      <c r="H65" t="s">
        <v>74</v>
      </c>
      <c r="J65" s="7"/>
    </row>
    <row r="67" spans="1:11" x14ac:dyDescent="0.25">
      <c r="B67" t="s">
        <v>75</v>
      </c>
    </row>
    <row r="68" spans="1:11" x14ac:dyDescent="0.25">
      <c r="B68" t="s">
        <v>65</v>
      </c>
      <c r="G68" t="s">
        <v>76</v>
      </c>
    </row>
    <row r="70" spans="1:11" x14ac:dyDescent="0.25">
      <c r="A70" s="1">
        <v>1</v>
      </c>
      <c r="B70" t="s">
        <v>77</v>
      </c>
      <c r="F70" t="s">
        <v>2</v>
      </c>
      <c r="G70" t="s">
        <v>78</v>
      </c>
    </row>
    <row r="71" spans="1:11" x14ac:dyDescent="0.25">
      <c r="A71" s="1">
        <v>2</v>
      </c>
      <c r="B71" s="4" t="s">
        <v>79</v>
      </c>
      <c r="F71" t="s">
        <v>2</v>
      </c>
      <c r="G71" t="s">
        <v>80</v>
      </c>
    </row>
    <row r="72" spans="1:11" x14ac:dyDescent="0.25">
      <c r="A72" s="1">
        <v>3</v>
      </c>
      <c r="B72" s="4" t="s">
        <v>20</v>
      </c>
      <c r="F72" t="s">
        <v>2</v>
      </c>
      <c r="G72" s="20" t="s">
        <v>81</v>
      </c>
    </row>
    <row r="73" spans="1:11" x14ac:dyDescent="0.25">
      <c r="A73" s="1">
        <v>4</v>
      </c>
      <c r="B73" s="4" t="s">
        <v>69</v>
      </c>
      <c r="F73" t="s">
        <v>2</v>
      </c>
      <c r="G73" t="s">
        <v>82</v>
      </c>
    </row>
    <row r="74" spans="1:11" x14ac:dyDescent="0.25">
      <c r="A74" s="1">
        <v>5</v>
      </c>
      <c r="B74" s="4" t="s">
        <v>70</v>
      </c>
      <c r="F74" t="s">
        <v>2</v>
      </c>
      <c r="G74" t="s">
        <v>54</v>
      </c>
    </row>
    <row r="76" spans="1:11" x14ac:dyDescent="0.25">
      <c r="A76" s="1">
        <v>1</v>
      </c>
      <c r="B76" t="s">
        <v>83</v>
      </c>
      <c r="F76" t="s">
        <v>2</v>
      </c>
      <c r="G76" t="s">
        <v>84</v>
      </c>
    </row>
    <row r="77" spans="1:11" x14ac:dyDescent="0.25">
      <c r="A77" s="1">
        <v>2</v>
      </c>
      <c r="B77" s="4" t="s">
        <v>79</v>
      </c>
      <c r="F77" t="s">
        <v>2</v>
      </c>
      <c r="G77" t="s">
        <v>85</v>
      </c>
      <c r="K77" t="e">
        <f ca="1">DATEDIF(DATEVALUE(MID(G77, FIND(",", G77) + 2, LEN(G77))), TODAY(), "Y")</f>
        <v>#VALUE!</v>
      </c>
    </row>
    <row r="78" spans="1:11" x14ac:dyDescent="0.25">
      <c r="A78" s="1">
        <v>3</v>
      </c>
      <c r="B78" s="4" t="s">
        <v>20</v>
      </c>
      <c r="F78" t="s">
        <v>2</v>
      </c>
      <c r="G78" s="20" t="s">
        <v>86</v>
      </c>
    </row>
    <row r="79" spans="1:11" x14ac:dyDescent="0.25">
      <c r="A79" s="1">
        <v>4</v>
      </c>
      <c r="B79" s="4" t="s">
        <v>69</v>
      </c>
      <c r="F79" t="s">
        <v>2</v>
      </c>
      <c r="G79" t="s">
        <v>87</v>
      </c>
    </row>
    <row r="80" spans="1:11" x14ac:dyDescent="0.25">
      <c r="A80" s="1">
        <v>5</v>
      </c>
      <c r="B80" s="4" t="s">
        <v>70</v>
      </c>
      <c r="F80" t="s">
        <v>2</v>
      </c>
      <c r="G80" t="s">
        <v>88</v>
      </c>
    </row>
  </sheetData>
  <conditionalFormatting sqref="G11">
    <cfRule type="containsBlanks" dxfId="0" priority="1">
      <formula>LEN(TRIM(G11))=0</formula>
    </cfRule>
  </conditionalFormatting>
  <dataValidations count="1">
    <dataValidation type="decimal" allowBlank="1" sqref="G11">
      <formula1>1</formula1>
      <formula2>16</formula2>
    </dataValidation>
  </dataValidations>
  <pageMargins left="0.7" right="0.7" top="0.75" bottom="0.75" header="0.3" footer="0.3"/>
  <pageSetup paperSize="16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ISIAN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2026-07-28T23:47:26Z</dcterms:created>
  <dcterms:modified xsi:type="dcterms:W3CDTF">2026-07-28T23:48:05Z</dcterms:modified>
</cp:coreProperties>
</file>