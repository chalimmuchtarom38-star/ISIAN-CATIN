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Other computers\My Laptop\FILE PELAYANAN\N 2026\N JULI 2026\"/>
    </mc:Choice>
  </mc:AlternateContent>
  <bookViews>
    <workbookView xWindow="0" yWindow="0" windowWidth="17280" windowHeight="8595" tabRatio="923" activeTab="3"/>
  </bookViews>
  <sheets>
    <sheet name="ISIAN DATA" sheetId="9" r:id="rId1"/>
    <sheet name="N1 PEREMPUAN" sheetId="13" r:id="rId2"/>
    <sheet name="N1 LAKI-LAKI" sheetId="1" r:id="rId3"/>
    <sheet name="N2 PEREMPUAN" sheetId="14" r:id="rId4"/>
    <sheet name="N2 LAKI-LAKI" sheetId="2" r:id="rId5"/>
    <sheet name="N4 PEREMPUAN" sheetId="3" r:id="rId6"/>
    <sheet name="N4 LAKI-LAKI" sheetId="15" r:id="rId7"/>
    <sheet name="N5 LAKI-LAKI" sheetId="4" r:id="rId8"/>
    <sheet name="N5 PEREMPUAN" sheetId="17" r:id="rId9"/>
    <sheet name="N6 PEREMPUAN" sheetId="5" r:id="rId10"/>
    <sheet name="N6 LAKI-LAKI" sheetId="16" r:id="rId11"/>
    <sheet name="RDS" sheetId="6" r:id="rId12"/>
    <sheet name="Kendali Pelaksanaan Ijab" sheetId="7" r:id="rId13"/>
    <sheet name="Pernyataan Wali Hakim" sheetId="8" r:id="rId14"/>
    <sheet name="Surat Keterangan Wali" sheetId="10" r:id="rId15"/>
    <sheet name="Dispensasi" sheetId="11" r:id="rId16"/>
    <sheet name="STATUS CATIN PR" sheetId="12" r:id="rId17"/>
    <sheet name="STATUS LAKI-LAKI" sheetId="18" r:id="rId18"/>
  </sheets>
  <definedNames>
    <definedName name="_xlnm.Print_Area" localSheetId="15">Dispensasi!$A$1:$I$60</definedName>
    <definedName name="_xlnm.Print_Area" localSheetId="2">'N1 LAKI-LAKI'!$A$1:$L$52</definedName>
    <definedName name="_xlnm.Print_Area" localSheetId="1">'N1 PEREMPUAN'!$A$1:$L$52</definedName>
    <definedName name="_xlnm.Print_Area" localSheetId="4">'N2 LAKI-LAKI'!$A$1:$M$53</definedName>
    <definedName name="_xlnm.Print_Area" localSheetId="3">'N2 PEREMPUAN'!$A$1:$M$53</definedName>
    <definedName name="_xlnm.Print_Area" localSheetId="13">'Pernyataan Wali Hakim'!$A$1:$L$51</definedName>
    <definedName name="_xlnm.Print_Area" localSheetId="11">RDS!$A$1:$M$60</definedName>
    <definedName name="_xlnm.Print_Area" localSheetId="16">'STATUS CATIN PR'!$A$1:$AA$47</definedName>
    <definedName name="_xlnm.Print_Area" localSheetId="17">'STATUS LAKI-LAKI'!$A$1:$AA$47</definedName>
    <definedName name="_xlnm.Print_Area" localSheetId="14">'Surat Keterangan Wali'!$A$1:$M$61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" i="14" l="1"/>
  <c r="I14" i="14"/>
  <c r="I57" i="17" l="1"/>
  <c r="I14" i="2" l="1"/>
  <c r="G14" i="2"/>
  <c r="P18" i="9" l="1"/>
  <c r="S44" i="18"/>
  <c r="AA1" i="18"/>
  <c r="P17" i="9"/>
  <c r="AA1" i="12"/>
  <c r="P16" i="9"/>
  <c r="P15" i="9"/>
  <c r="P14" i="9"/>
  <c r="P13" i="9"/>
  <c r="P12" i="9"/>
  <c r="P11" i="9"/>
  <c r="P10" i="9"/>
  <c r="P9" i="9"/>
  <c r="P8" i="9"/>
  <c r="P7" i="9"/>
  <c r="P6" i="9"/>
  <c r="P4" i="9"/>
  <c r="P3" i="9"/>
  <c r="P5" i="9"/>
  <c r="P2" i="9"/>
  <c r="M5" i="13"/>
  <c r="M5" i="1"/>
  <c r="J1" i="11"/>
  <c r="O1" i="10"/>
  <c r="M1" i="8"/>
  <c r="L1" i="7"/>
  <c r="O1" i="6"/>
  <c r="M4" i="16"/>
  <c r="M2" i="5"/>
  <c r="L1" i="17"/>
  <c r="L1" i="4"/>
  <c r="M1" i="15"/>
  <c r="M1" i="3"/>
  <c r="N1" i="2"/>
  <c r="N1" i="14"/>
  <c r="G27" i="17" l="1"/>
  <c r="G26" i="17"/>
  <c r="G23" i="17"/>
  <c r="G22" i="17"/>
  <c r="G21" i="17"/>
  <c r="G21" i="4"/>
  <c r="G22" i="4"/>
  <c r="G23" i="4"/>
  <c r="G26" i="4"/>
  <c r="G27" i="4"/>
  <c r="G20" i="17"/>
  <c r="G16" i="17"/>
  <c r="G15" i="17"/>
  <c r="G12" i="17"/>
  <c r="G10" i="17"/>
  <c r="G11" i="17"/>
  <c r="G9" i="17"/>
  <c r="G25" i="17"/>
  <c r="G24" i="17"/>
  <c r="G14" i="17"/>
  <c r="G13" i="17"/>
  <c r="H27" i="15"/>
  <c r="H26" i="15"/>
  <c r="H25" i="15"/>
  <c r="H24" i="15"/>
  <c r="H23" i="15"/>
  <c r="H22" i="15"/>
  <c r="H21" i="15"/>
  <c r="H20" i="15"/>
  <c r="I41" i="15" s="1"/>
  <c r="H16" i="15"/>
  <c r="H15" i="15"/>
  <c r="H12" i="15"/>
  <c r="H11" i="15"/>
  <c r="H10" i="15"/>
  <c r="H9" i="15"/>
  <c r="A41" i="15" s="1"/>
  <c r="G12" i="14"/>
  <c r="G13" i="14"/>
  <c r="K45" i="14" s="1"/>
  <c r="G15" i="14"/>
  <c r="G42" i="1"/>
  <c r="G41" i="1"/>
  <c r="G38" i="1"/>
  <c r="G37" i="1"/>
  <c r="G36" i="1"/>
  <c r="G33" i="1"/>
  <c r="G32" i="1"/>
  <c r="G29" i="1"/>
  <c r="G28" i="1"/>
  <c r="G27" i="1"/>
  <c r="G22" i="1"/>
  <c r="G19" i="1"/>
  <c r="G15" i="1"/>
  <c r="G14" i="1"/>
  <c r="G13" i="1"/>
  <c r="G12" i="1"/>
  <c r="I47" i="13"/>
  <c r="G47" i="13"/>
  <c r="G42" i="13"/>
  <c r="G41" i="13"/>
  <c r="G38" i="13"/>
  <c r="G37" i="13"/>
  <c r="G36" i="13"/>
  <c r="G33" i="13"/>
  <c r="G32" i="13"/>
  <c r="G31" i="13"/>
  <c r="G30" i="13"/>
  <c r="G29" i="13"/>
  <c r="G28" i="13"/>
  <c r="G27" i="13"/>
  <c r="G22" i="13"/>
  <c r="G19" i="13"/>
  <c r="G18" i="13"/>
  <c r="G15" i="13"/>
  <c r="G14" i="13"/>
  <c r="G13" i="13"/>
  <c r="G12" i="13"/>
  <c r="F9" i="13"/>
  <c r="G6" i="13"/>
  <c r="H26" i="3" l="1"/>
  <c r="M32" i="12"/>
  <c r="M31" i="12"/>
  <c r="M28" i="12"/>
  <c r="M27" i="12"/>
  <c r="M26" i="12"/>
  <c r="M25" i="12"/>
  <c r="M24" i="12"/>
  <c r="M18" i="12"/>
  <c r="N17" i="12"/>
  <c r="M14" i="12"/>
  <c r="M13" i="12"/>
  <c r="M12" i="12"/>
  <c r="M11" i="12"/>
  <c r="M10" i="12"/>
  <c r="J43" i="8"/>
  <c r="B43" i="8"/>
  <c r="H27" i="3"/>
  <c r="H23" i="3"/>
  <c r="H22" i="3"/>
  <c r="H21" i="3"/>
  <c r="H20" i="3"/>
  <c r="I41" i="3" s="1"/>
  <c r="G13" i="2" l="1"/>
  <c r="J16" i="8" l="1"/>
  <c r="F13" i="8" l="1"/>
  <c r="F24" i="8" s="1"/>
  <c r="F12" i="8"/>
  <c r="F10" i="8"/>
  <c r="F9" i="8"/>
  <c r="F8" i="8"/>
  <c r="F7" i="8"/>
  <c r="A37" i="8" s="1"/>
  <c r="I47" i="1"/>
  <c r="K45" i="2"/>
  <c r="K32" i="8" l="1"/>
  <c r="J36" i="15"/>
  <c r="M17" i="12"/>
  <c r="S44" i="12" l="1"/>
  <c r="C5" i="7" l="1"/>
  <c r="C4" i="7"/>
  <c r="B31" i="11"/>
  <c r="B37" i="11"/>
  <c r="B36" i="11"/>
  <c r="B33" i="11"/>
  <c r="B32" i="11"/>
  <c r="B30" i="11"/>
  <c r="B27" i="11"/>
  <c r="B26" i="11"/>
  <c r="B21" i="11"/>
  <c r="B20" i="11"/>
  <c r="B19" i="11"/>
  <c r="B18" i="11"/>
  <c r="B7" i="11"/>
  <c r="E15" i="11"/>
  <c r="B15" i="11"/>
  <c r="H32" i="10"/>
  <c r="I57" i="10"/>
  <c r="K12" i="6" l="1"/>
  <c r="K28" i="6"/>
  <c r="I61" i="10"/>
  <c r="F43" i="10"/>
  <c r="F41" i="10"/>
  <c r="F40" i="10"/>
  <c r="F38" i="10"/>
  <c r="F37" i="10"/>
  <c r="F36" i="10"/>
  <c r="F35" i="10"/>
  <c r="F29" i="10"/>
  <c r="F27" i="10"/>
  <c r="F26" i="10"/>
  <c r="F25" i="10"/>
  <c r="F24" i="10"/>
  <c r="F21" i="10"/>
  <c r="F19" i="10"/>
  <c r="F18" i="10"/>
  <c r="F17" i="10"/>
  <c r="F16" i="10"/>
  <c r="A12" i="10"/>
  <c r="F28" i="7"/>
  <c r="F29" i="7"/>
  <c r="F30" i="7"/>
  <c r="F31" i="7"/>
  <c r="F27" i="7"/>
  <c r="F21" i="7"/>
  <c r="F22" i="7"/>
  <c r="F23" i="7"/>
  <c r="F24" i="7"/>
  <c r="F20" i="7"/>
  <c r="I17" i="7"/>
  <c r="G17" i="7"/>
  <c r="F14" i="7"/>
  <c r="F13" i="7"/>
  <c r="F11" i="7"/>
  <c r="F10" i="7"/>
  <c r="F8" i="7"/>
  <c r="F7" i="7"/>
  <c r="I58" i="6"/>
  <c r="B58" i="6"/>
  <c r="G48" i="6"/>
  <c r="G47" i="6"/>
  <c r="K46" i="6"/>
  <c r="K45" i="6"/>
  <c r="K44" i="6"/>
  <c r="G46" i="6"/>
  <c r="G45" i="6"/>
  <c r="G44" i="6"/>
  <c r="G40" i="6"/>
  <c r="K40" i="6"/>
  <c r="K39" i="6"/>
  <c r="G41" i="6"/>
  <c r="G39" i="6"/>
  <c r="K36" i="6"/>
  <c r="K35" i="6"/>
  <c r="G37" i="6"/>
  <c r="G36" i="6"/>
  <c r="G35" i="6"/>
  <c r="G32" i="6"/>
  <c r="G31" i="6"/>
  <c r="K27" i="6"/>
  <c r="G28" i="6"/>
  <c r="G27" i="6"/>
  <c r="K23" i="6"/>
  <c r="K22" i="6"/>
  <c r="G24" i="6"/>
  <c r="G23" i="6"/>
  <c r="G22" i="6"/>
  <c r="K19" i="6"/>
  <c r="K18" i="6"/>
  <c r="G20" i="6"/>
  <c r="G19" i="6"/>
  <c r="G18" i="6"/>
  <c r="G15" i="6"/>
  <c r="K11" i="6"/>
  <c r="G11" i="6"/>
  <c r="G10" i="6"/>
  <c r="G7" i="6"/>
  <c r="G6" i="6"/>
  <c r="G5" i="6"/>
  <c r="I57" i="4"/>
  <c r="G47" i="4"/>
  <c r="G37" i="17" s="1"/>
  <c r="G46" i="4"/>
  <c r="G36" i="17" s="1"/>
  <c r="G43" i="4"/>
  <c r="G33" i="17" s="1"/>
  <c r="G42" i="4"/>
  <c r="G32" i="17" s="1"/>
  <c r="G41" i="4"/>
  <c r="G31" i="17" s="1"/>
  <c r="B57" i="17" s="1"/>
  <c r="G40" i="4"/>
  <c r="G30" i="17" s="1"/>
  <c r="G37" i="4"/>
  <c r="G47" i="17" s="1"/>
  <c r="G36" i="4"/>
  <c r="G46" i="17" s="1"/>
  <c r="G33" i="4"/>
  <c r="G43" i="17" s="1"/>
  <c r="G30" i="4"/>
  <c r="G40" i="17" s="1"/>
  <c r="G25" i="4"/>
  <c r="G24" i="4"/>
  <c r="G20" i="4"/>
  <c r="G16" i="4"/>
  <c r="G15" i="4"/>
  <c r="G14" i="4"/>
  <c r="G13" i="4"/>
  <c r="G12" i="4"/>
  <c r="G11" i="4"/>
  <c r="G10" i="4"/>
  <c r="G9" i="4"/>
  <c r="G31" i="4" s="1"/>
  <c r="H25" i="3"/>
  <c r="H24" i="3"/>
  <c r="H16" i="3"/>
  <c r="H15" i="3"/>
  <c r="H12" i="3"/>
  <c r="H11" i="3"/>
  <c r="G32" i="4" s="1"/>
  <c r="G42" i="17" s="1"/>
  <c r="H10" i="3"/>
  <c r="G15" i="2"/>
  <c r="J36" i="3"/>
  <c r="L56" i="10" s="1"/>
  <c r="G47" i="1"/>
  <c r="T38" i="12" l="1"/>
  <c r="T38" i="18"/>
  <c r="I36" i="3"/>
  <c r="I32" i="8" s="1"/>
  <c r="I36" i="15"/>
  <c r="B57" i="4"/>
  <c r="G41" i="17"/>
  <c r="I53" i="6"/>
  <c r="J56" i="10"/>
  <c r="J53" i="6"/>
  <c r="G31" i="1"/>
  <c r="G30" i="1"/>
  <c r="G18" i="1"/>
  <c r="F9" i="1"/>
  <c r="G6" i="1"/>
  <c r="S38" i="12" l="1"/>
  <c r="S38" i="18"/>
  <c r="H14" i="3"/>
  <c r="H14" i="15"/>
  <c r="H13" i="3"/>
  <c r="G44" i="4" s="1"/>
  <c r="G34" i="17" s="1"/>
  <c r="H13" i="15"/>
  <c r="G45" i="4"/>
  <c r="G35" i="17" s="1"/>
  <c r="G35" i="4"/>
  <c r="G45" i="17" s="1"/>
  <c r="B9" i="11"/>
  <c r="G34" i="4" l="1"/>
  <c r="G44" i="17" s="1"/>
  <c r="H9" i="3"/>
  <c r="A41" i="3" s="1"/>
  <c r="G12" i="2"/>
</calcChain>
</file>

<file path=xl/sharedStrings.xml><?xml version="1.0" encoding="utf-8"?>
<sst xmlns="http://schemas.openxmlformats.org/spreadsheetml/2006/main" count="1302" uniqueCount="367">
  <si>
    <t>PEMERINTAH KABUPATEN PEMALANG</t>
  </si>
  <si>
    <t>KECAMATAN WATUKUMPUL</t>
  </si>
  <si>
    <t>PENGANTAR NIKAH</t>
  </si>
  <si>
    <t>Yang bertanda tangan di bawah ini menjelaskan dengan sesungguhnya bahwa:</t>
  </si>
  <si>
    <t>1.</t>
  </si>
  <si>
    <t>Nama</t>
  </si>
  <si>
    <t>2.</t>
  </si>
  <si>
    <t>Nomor Induk Kependudukan (NIK)</t>
  </si>
  <si>
    <t>Jenis Kelamin</t>
  </si>
  <si>
    <t>Tempat dan tanggal lahir</t>
  </si>
  <si>
    <t>Kewarganegaraan</t>
  </si>
  <si>
    <t>Agama</t>
  </si>
  <si>
    <t>Pekerjaan</t>
  </si>
  <si>
    <t>Alamat</t>
  </si>
  <si>
    <t>Status pernikahan</t>
  </si>
  <si>
    <t>a.</t>
  </si>
  <si>
    <t>Laki-laki; Jejaka, Duda</t>
  </si>
  <si>
    <t>atau beristri ke …....</t>
  </si>
  <si>
    <t>b.</t>
  </si>
  <si>
    <t>Peremuan: Perawan, Janda</t>
  </si>
  <si>
    <t>Adalah benar-benar anak dari pernikahan seorang pria:</t>
  </si>
  <si>
    <t>Nama lengkap dan alias</t>
  </si>
  <si>
    <t>Dengan seorang wanita :</t>
  </si>
  <si>
    <t>Kepala Desa,</t>
  </si>
  <si>
    <t xml:space="preserve">: </t>
  </si>
  <si>
    <t>:</t>
  </si>
  <si>
    <t>…............................................................................</t>
  </si>
  <si>
    <t>dipergunakan sebagaimana mestinya</t>
  </si>
  <si>
    <t>Model N1</t>
  </si>
  <si>
    <t>Penyesuaian Lampiran VI</t>
  </si>
  <si>
    <t>Keputusan Dirjen Bimas Islam Nomor 473 Tahun 2020</t>
  </si>
  <si>
    <t>Perihal</t>
  </si>
  <si>
    <t>Permohonan Kehendak Pernikahan</t>
  </si>
  <si>
    <t>Kepada Yth.</t>
  </si>
  <si>
    <t>Kepala KUA Watukumpul</t>
  </si>
  <si>
    <t>di tempat</t>
  </si>
  <si>
    <t>Assalamu'alaikum Warahmatullahi Wabarakatuh</t>
  </si>
  <si>
    <t>Dengan hormat, kami mengajukan permohonan kehendak pernikahan untuk atas nama:</t>
  </si>
  <si>
    <t>Calon suami</t>
  </si>
  <si>
    <t>Calon istri</t>
  </si>
  <si>
    <t>Pada hari</t>
  </si>
  <si>
    <t>Bertempat di</t>
  </si>
  <si>
    <t>Bersama ini kami sampaikan surat-surat yang diperlukan untuk diperiksa sebagai berikut :</t>
  </si>
  <si>
    <t>Surat pengantar pernikahan dari Desa/ Kelurahan calon pengantin Putra</t>
  </si>
  <si>
    <t>(Diurutkan dari N1, N5, AC Asli, Berkas Khusus TNI/ Polri dari Rekomendasi)</t>
  </si>
  <si>
    <t>Surat Pengantar Pernikahan dari Desa/ Kelurahan Calon Pengantin Putri</t>
  </si>
  <si>
    <t>(Diurutkan dari N1, N5, AC Asli, Berkas Khusus TNI/Polri dan Rekomendasi)</t>
  </si>
  <si>
    <t>Surat Persetujuan Mempelai (Model N4)</t>
  </si>
  <si>
    <t>Asli Putusan Dispensasi Umur dari Pengadilan Agama</t>
  </si>
  <si>
    <t>Pasfoto ukuran 2x3 = 2 lembar dan 4x6= 1 lembar berlatar belakang biru</t>
  </si>
  <si>
    <t>A. Berkas Utama :</t>
  </si>
  <si>
    <t>B. Berkas Operator</t>
  </si>
  <si>
    <t>Rekam Data Sementara Calon Pengantin</t>
  </si>
  <si>
    <t>Surat Keterangan Wali dan Pernyataannya</t>
  </si>
  <si>
    <t>Fotocopy Kartu Keluarga Catin Putra, Catin Putri, Wali</t>
  </si>
  <si>
    <t>Fotocopy KTP, Catin Putra, Catin Putri, Wali</t>
  </si>
  <si>
    <t>Fotocopy Akte Kelahiran dan Ijazah</t>
  </si>
  <si>
    <t>Demikian permohonan ini kami sampaikan, kiranya dapat diperiksa, dihadiri dan dicatat</t>
  </si>
  <si>
    <t>sesuai dengan ketentuan peraturan perundang-undangan.</t>
  </si>
  <si>
    <t>Diterima tanggal ……………..……… 2026</t>
  </si>
  <si>
    <t>Yang menerima,</t>
  </si>
  <si>
    <t>Kepala KUA/ Penghulu</t>
  </si>
  <si>
    <t>Wassalamualaikum Warahmatullahi Wabarakatuh</t>
  </si>
  <si>
    <t>Pemohon</t>
  </si>
  <si>
    <t>…..............................</t>
  </si>
  <si>
    <t>Petugas Pengantar,</t>
  </si>
  <si>
    <t xml:space="preserve">          Demikian surat pengantar ini dibuat dengan mengingat sumpah jabatan dan untuk</t>
  </si>
  <si>
    <t>Penyesuaian Lampiran VIII</t>
  </si>
  <si>
    <t>Model  N4</t>
  </si>
  <si>
    <t>PERSETUJUAN CALON PENGANTIN</t>
  </si>
  <si>
    <t>Yang bertanda tangan di bawah ini :</t>
  </si>
  <si>
    <t>A.</t>
  </si>
  <si>
    <t>Calon Suami:</t>
  </si>
  <si>
    <t>Bin</t>
  </si>
  <si>
    <t xml:space="preserve">Nomor Induk Kependudukan	</t>
  </si>
  <si>
    <t xml:space="preserve">Agama </t>
  </si>
  <si>
    <t>B.</t>
  </si>
  <si>
    <t>Calon Istri:</t>
  </si>
  <si>
    <t>Binti</t>
  </si>
  <si>
    <t xml:space="preserve">Menyatakan dengan sesungguhnya bahwa atas dasar suka rela, dengan kesadaran sendiri, tanpa </t>
  </si>
  <si>
    <t>ada paksaan dari siapapun juga, setuju untuk melangsungkan pernikahan.</t>
  </si>
  <si>
    <t>Demikian surat persetujuan ini dibuat untuk digunakan seperlunya.</t>
  </si>
  <si>
    <t>Calon Suami</t>
  </si>
  <si>
    <t>Calon Istri</t>
  </si>
  <si>
    <t>…........................................................................</t>
  </si>
  <si>
    <t>….........................................................................</t>
  </si>
  <si>
    <t>Penyesuaian Lampiran IX</t>
  </si>
  <si>
    <t>Model  N5</t>
  </si>
  <si>
    <t>SURAT IZIN ORANG TUA/ PENGAMPU</t>
  </si>
  <si>
    <t>Nomor Induk Kependudukan</t>
  </si>
  <si>
    <t>adalah ayah dan ibu kandung/ wali/ pengampu dari :</t>
  </si>
  <si>
    <t>Bin/ Binti</t>
  </si>
  <si>
    <t>memberikan izin kepada yang bersangkutan untuk melakukan pernikahan dengan :</t>
  </si>
  <si>
    <t xml:space="preserve">Demikianlah surat izin ini dibuat dengan kesadaran tanpa ada paksaan dari siapapun dan untuk </t>
  </si>
  <si>
    <t>digunakan seperlunya.</t>
  </si>
  <si>
    <t>Ayah/ Wali/ Pengampu</t>
  </si>
  <si>
    <t>*Nama Terang</t>
  </si>
  <si>
    <t>Ibu/ Wali/ Pengampu</t>
  </si>
  <si>
    <t>SURAT KETERANGAN KEMATIAN SUAMI / ISTRI</t>
  </si>
  <si>
    <t>Nomor : 474.3/………/…….…/20..</t>
  </si>
  <si>
    <t>Yang bertandatangan di bawah ini menerangkan dengan sesungguhnya bahwa:</t>
  </si>
  <si>
    <t>TELAH MENINGGAL DUNIA</t>
  </si>
  <si>
    <t>pada tanggal</t>
  </si>
  <si>
    <t>bertempat di</t>
  </si>
  <si>
    <t>Yang bersangkutan adalah suami/ istri* dari:</t>
  </si>
  <si>
    <t xml:space="preserve">Demikian surat keterangan ini dibuat dengan mengingat sumpah jabatan dan untuk </t>
  </si>
  <si>
    <t>Watukumpul, ……….…….…….. 2026</t>
  </si>
  <si>
    <t>.........................................</t>
  </si>
  <si>
    <t>*) Coret yang tidak perlu</t>
  </si>
  <si>
    <t>Model N6</t>
  </si>
  <si>
    <t xml:space="preserve">REKAM DATA SEMENTARA </t>
  </si>
  <si>
    <t>PENDAFTARAN CALON PASANGAN PENGANTIN</t>
  </si>
  <si>
    <t>PELAKSANAAN</t>
  </si>
  <si>
    <t>Hari, Tanggal</t>
  </si>
  <si>
    <t>Lokasi Akad Nikah</t>
  </si>
  <si>
    <t>Alamat Email Catin</t>
  </si>
  <si>
    <t>CALON SUAMI</t>
  </si>
  <si>
    <t>Nama lengkap</t>
  </si>
  <si>
    <t>Tempat, tanggal lahir</t>
  </si>
  <si>
    <t>nomor HP</t>
  </si>
  <si>
    <t>Status</t>
  </si>
  <si>
    <t>Tempat tinggal</t>
  </si>
  <si>
    <t>Nomor &amp; tgl putusan</t>
  </si>
  <si>
    <t>Nama Ayah kandung</t>
  </si>
  <si>
    <t>3.</t>
  </si>
  <si>
    <t>Nama Ibu kandung</t>
  </si>
  <si>
    <t>C.</t>
  </si>
  <si>
    <t>CALON ISTRI</t>
  </si>
  <si>
    <t>D.</t>
  </si>
  <si>
    <t>CALON WALI NASAB DAN MAS KAWIN (MAHAR)</t>
  </si>
  <si>
    <t>Nama Wali</t>
  </si>
  <si>
    <t>Tempat, Tanggal Lahir</t>
  </si>
  <si>
    <t>Hubungan</t>
  </si>
  <si>
    <t>Mas kawin/ Mahar</t>
  </si>
  <si>
    <t>E.</t>
  </si>
  <si>
    <t>SEBAB PERWALIAN HAKIM</t>
  </si>
  <si>
    <t>Sebab</t>
  </si>
  <si>
    <t>Petugas pengantar,</t>
  </si>
  <si>
    <t>Jam : …........... WIB</t>
  </si>
  <si>
    <t>NIK</t>
  </si>
  <si>
    <t>Anak ke :</t>
  </si>
  <si>
    <t>NIK :</t>
  </si>
  <si>
    <t>Tanggal :</t>
  </si>
  <si>
    <t>Pekerjaan :</t>
  </si>
  <si>
    <t>Tanggal</t>
  </si>
  <si>
    <t>Bin :</t>
  </si>
  <si>
    <t>…............................................................................................</t>
  </si>
  <si>
    <r>
      <t xml:space="preserve">Perawan / Janda cerai / Janda ditinggal mati </t>
    </r>
    <r>
      <rPr>
        <i/>
        <sz val="11"/>
        <color theme="1"/>
        <rFont val="Arial"/>
        <family val="2"/>
      </rPr>
      <t>(coret yang tidak perlu)</t>
    </r>
  </si>
  <si>
    <t>LEMBAR KENDALI IJAB QABUL</t>
  </si>
  <si>
    <t>Tempat</t>
  </si>
  <si>
    <t>Nama Calon Pengantin Pria</t>
  </si>
  <si>
    <t xml:space="preserve">Nama Calon Pengantin Wanita </t>
  </si>
  <si>
    <t>Wali</t>
  </si>
  <si>
    <t>SAKSI PERTAMA</t>
  </si>
  <si>
    <t>Saksi Kedua</t>
  </si>
  <si>
    <t xml:space="preserve">Catatan lain </t>
  </si>
  <si>
    <t>UANG / ALAT SHALAT/ PERHIASAN EMAS / LOGAM MULIA</t>
  </si>
  <si>
    <t>…....................................................................................</t>
  </si>
  <si>
    <t>(Kedudukan wali)</t>
  </si>
  <si>
    <r>
      <t xml:space="preserve">DESA </t>
    </r>
    <r>
      <rPr>
        <sz val="14"/>
        <color rgb="FFFF0000"/>
        <rFont val="Arial"/>
        <family val="2"/>
      </rPr>
      <t>XXXXX</t>
    </r>
  </si>
  <si>
    <t>SURAT PERNYATAAN WALI HAKIM</t>
  </si>
  <si>
    <t>Pemalang, menyatakan dengan sebenar-benarnya, bahwa saya :</t>
  </si>
  <si>
    <t>Kewarganegaraan / Agama</t>
  </si>
  <si>
    <t xml:space="preserve">Oleh karena itu kami mohon kepada Bapak Kepala KUA Kecamatan Watukumpul Kabupaten Pemalang, </t>
  </si>
  <si>
    <t>Yang akan dilaksanakan pada :</t>
  </si>
  <si>
    <t>Hari/ tanggal</t>
  </si>
  <si>
    <t>Jam</t>
  </si>
  <si>
    <t xml:space="preserve">Demikian surat ini saya buat dengan sebenar-benarnya, dan bisa menjadi landasan hkum ketika terdapat </t>
  </si>
  <si>
    <t>permasalahan dikemudian hari.</t>
  </si>
  <si>
    <t>Atas perhatiannya saya ucapkan terima kasih.</t>
  </si>
  <si>
    <t>Wassalamualaikum, Wr. Wb</t>
  </si>
  <si>
    <t>Yang Bertanda Tangan.</t>
  </si>
  <si>
    <t xml:space="preserve"> </t>
  </si>
  <si>
    <t>NOMOR REGISTER</t>
  </si>
  <si>
    <t>TANGGAL SURAT</t>
  </si>
  <si>
    <t>TANGGAL PELAKSANAAN</t>
  </si>
  <si>
    <t>JAM</t>
  </si>
  <si>
    <t>TEMPAT AKAD NIKAH</t>
  </si>
  <si>
    <t>NAMA CALON PENGANTIN LAKI-LAKI</t>
  </si>
  <si>
    <t>BIN</t>
  </si>
  <si>
    <t>TEMPAT TANGGAL LAHIR</t>
  </si>
  <si>
    <t>PEKERJAAN</t>
  </si>
  <si>
    <t>SETATUS</t>
  </si>
  <si>
    <t>JENIS KELAMIN</t>
  </si>
  <si>
    <t>Laki-Laki</t>
  </si>
  <si>
    <t>NAMA ISTRI TERDAHULU</t>
  </si>
  <si>
    <t>ALAMAT</t>
  </si>
  <si>
    <t>NAMA AYAH LAKI-LAKI</t>
  </si>
  <si>
    <t>NAMA IBU LAKI-LAKI</t>
  </si>
  <si>
    <t>Mengurus Rumah Tangga</t>
  </si>
  <si>
    <t>NAMA CALON PENGANTIN PEREMPUAN</t>
  </si>
  <si>
    <t>BINTI</t>
  </si>
  <si>
    <t>NAMA SUAMI TERDHULU</t>
  </si>
  <si>
    <t>NAMA AYAH PEREMPUAN</t>
  </si>
  <si>
    <t>NAMA IBU PEREMPUAN</t>
  </si>
  <si>
    <t>Tempat Tanggal Lahir</t>
  </si>
  <si>
    <t>Saudara Sekandung</t>
  </si>
  <si>
    <t>SURAT KETERANGAN WALI</t>
  </si>
  <si>
    <t>Yang bertanda tangan dibawah ini, menerangkan dengan sesungguhnya:</t>
  </si>
  <si>
    <t>Nama Calon Suami</t>
  </si>
  <si>
    <t>Kewarganegaraan/Agama</t>
  </si>
  <si>
    <t>Indonesia</t>
  </si>
  <si>
    <t>Nama Calon Istri</t>
  </si>
  <si>
    <t xml:space="preserve">Akan melaksanakan akad nikah pada hari </t>
  </si>
  <si>
    <t>Akan melaksanakan akad nikah pada hari</t>
  </si>
  <si>
    <t>dengan menggunakan wali :</t>
  </si>
  <si>
    <t>Nasab</t>
  </si>
  <si>
    <t>Indonesia/Islam</t>
  </si>
  <si>
    <t xml:space="preserve">Hubungan </t>
  </si>
  <si>
    <t>Ayah Kandung</t>
  </si>
  <si>
    <t>Paman Kandung</t>
  </si>
  <si>
    <t>Paman Ayah Seayah</t>
  </si>
  <si>
    <t>Kakek</t>
  </si>
  <si>
    <t>Paman Seayah</t>
  </si>
  <si>
    <t>Anak Paman Ayah Kandung</t>
  </si>
  <si>
    <t xml:space="preserve">Buyut </t>
  </si>
  <si>
    <t>Anak Paman Kandung</t>
  </si>
  <si>
    <t>Anak Paman Ayah Seayah</t>
  </si>
  <si>
    <t>Anak Paman Seayah</t>
  </si>
  <si>
    <t>Paman Kakek Kandung</t>
  </si>
  <si>
    <t>Saudara Seayah</t>
  </si>
  <si>
    <t>Cucu Paman Kandung</t>
  </si>
  <si>
    <t xml:space="preserve">Paman Kakek Seayah </t>
  </si>
  <si>
    <t>Anak Saudara Sekandung</t>
  </si>
  <si>
    <t>Cucu Paman Seayah</t>
  </si>
  <si>
    <t>Anak Paman Kakek Kandung</t>
  </si>
  <si>
    <t>Anak Saudara Seayah</t>
  </si>
  <si>
    <t>Paman Ayah Kandung</t>
  </si>
  <si>
    <t>Anak Paman Kakek Seayah</t>
  </si>
  <si>
    <t>Demikian Keterangan ini dibuat dengan sebenar-benarnya untuk menjadi maklum dan digunakan sebagaimana mestinya</t>
  </si>
  <si>
    <t>Kepala Desa Majakerta</t>
  </si>
  <si>
    <t>Nomor</t>
  </si>
  <si>
    <t>Sifat</t>
  </si>
  <si>
    <t>Lampiran</t>
  </si>
  <si>
    <t>Umur</t>
  </si>
  <si>
    <t>Anak dari</t>
  </si>
  <si>
    <t>Ayah</t>
  </si>
  <si>
    <t>Ibu</t>
  </si>
  <si>
    <t>Akan menikah dengan</t>
  </si>
  <si>
    <t xml:space="preserve">Nomor </t>
  </si>
  <si>
    <t>Nama Orangtua calon Istri</t>
  </si>
  <si>
    <t>Anak dari orangtua calon Suami</t>
  </si>
  <si>
    <t>Pernikahan tersebut akan dilaksanakan pada hari</t>
  </si>
  <si>
    <t>Demikian untuk menjadikan maklum bagi yang berkentingan.</t>
  </si>
  <si>
    <t>Tanggal Pelaksanaan</t>
  </si>
  <si>
    <t>Kepala Desa</t>
  </si>
  <si>
    <t>* Tembusan :</t>
  </si>
  <si>
    <t xml:space="preserve">DESA </t>
  </si>
  <si>
    <t xml:space="preserve">Berdasarkan Surat Pengantar dari Kepala Desa </t>
  </si>
  <si>
    <t>, sampai hari ini tidak diketahui keberadaannya.</t>
  </si>
  <si>
    <t>Saksi I</t>
  </si>
  <si>
    <t>Saksi II</t>
  </si>
  <si>
    <t>Mengetahui,</t>
  </si>
  <si>
    <t xml:space="preserve">Menyatakan dengan sebenar-benarnya bahwa ayah saya yang bernama </t>
  </si>
  <si>
    <t xml:space="preserve">Yang bertanda tangan dibawah ini, calon pengantin dari </t>
  </si>
  <si>
    <t>DESA</t>
  </si>
  <si>
    <t>TAMBI</t>
  </si>
  <si>
    <t xml:space="preserve">                                               Nomor .</t>
  </si>
  <si>
    <t>INDONESIA</t>
  </si>
  <si>
    <t>ISLAM</t>
  </si>
  <si>
    <t>PEREMPUAN</t>
  </si>
  <si>
    <t>Kepala Desa Tambi</t>
  </si>
  <si>
    <t>J U R I</t>
  </si>
  <si>
    <t>Chalim Muchtarom, S.Pd.I</t>
  </si>
  <si>
    <t>bin</t>
  </si>
  <si>
    <t>EMAIL CATIN</t>
  </si>
  <si>
    <t>Mahar</t>
  </si>
  <si>
    <t xml:space="preserve">RP .           </t>
  </si>
  <si>
    <t xml:space="preserve"> / </t>
  </si>
  <si>
    <t>Gram</t>
  </si>
  <si>
    <t>Nama Saksi 1</t>
  </si>
  <si>
    <t>Nama Saksi 2</t>
  </si>
  <si>
    <t>PENDIDIKAN</t>
  </si>
  <si>
    <t>082326132987</t>
  </si>
  <si>
    <r>
      <t xml:space="preserve">Status pernikahan orangtua </t>
    </r>
    <r>
      <rPr>
        <i/>
        <sz val="10"/>
        <color theme="1"/>
        <rFont val="Arial"/>
        <family val="2"/>
      </rPr>
      <t>(Jika keduanya masih hidup)</t>
    </r>
    <r>
      <rPr>
        <sz val="10"/>
        <color theme="1"/>
        <rFont val="Arial"/>
        <family val="2"/>
      </rPr>
      <t xml:space="preserve"> : Bersama / Bercerai</t>
    </r>
  </si>
  <si>
    <r>
      <t xml:space="preserve">Jejaka / Duda cerai / Duda ditinggal Mati / Beristri </t>
    </r>
    <r>
      <rPr>
        <i/>
        <sz val="10"/>
        <color theme="1"/>
        <rFont val="Arial"/>
        <family val="2"/>
      </rPr>
      <t>(Coret yang tidak perlu</t>
    </r>
    <r>
      <rPr>
        <sz val="10"/>
        <color theme="1"/>
        <rFont val="Arial"/>
        <family val="2"/>
      </rPr>
      <t>)</t>
    </r>
  </si>
  <si>
    <t>NIK           :</t>
  </si>
  <si>
    <t>DESA TAMBI</t>
  </si>
  <si>
    <t>Nomor Kode Desa : 33.27.04.2011</t>
  </si>
  <si>
    <t>Penting</t>
  </si>
  <si>
    <t>Permohonan</t>
  </si>
  <si>
    <t>Tgl :</t>
  </si>
  <si>
    <t>Tambi</t>
  </si>
  <si>
    <t>perihal pada pokok surat,</t>
  </si>
  <si>
    <t>dengan ini kami meminta  Ijin Dispensasi Nikah kepada Bpk.Camat Watukumpul :</t>
  </si>
  <si>
    <t>Kecamatan Watukumpul Kabupaten Pemalang</t>
  </si>
  <si>
    <t>1. Sekertariat Desa Tambi</t>
  </si>
  <si>
    <t>di Desa Tambi</t>
  </si>
  <si>
    <t>UMUR</t>
  </si>
  <si>
    <t>Yang bertanda tangan di bawah ini, saya :</t>
  </si>
  <si>
    <t>Status Perkawinan</t>
  </si>
  <si>
    <r>
      <rPr>
        <sz val="11"/>
        <color rgb="FF000000"/>
        <rFont val="Calibri"/>
        <family val="2"/>
      </rPr>
      <t xml:space="preserve">Menyatakan dengan sebenar-benarnya, bahwa saya sampai dengan saat ini berstatus JEJAKA / DUDA*)  dan benar-benar </t>
    </r>
    <r>
      <rPr>
        <b/>
        <u/>
        <sz val="11"/>
        <color rgb="FF000000"/>
        <rFont val="Calibri"/>
        <family val="2"/>
      </rPr>
      <t>BELUM PERNAH MENIKAH</t>
    </r>
    <r>
      <rPr>
        <b/>
        <u/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>dengan siapapun dan dimanapun juga menurut Peraturan Perundang-undangan yang berlaku. Pernyataan ini saya buat dalam keadaan sehat jasmani dan rohani atas dasar kesadaran sendiri tanpa ada paksaan dari pihak manapun.</t>
    </r>
  </si>
  <si>
    <t>Surat pernyataan ini saya buat untuk melengkapi persyaratan pernikahan saya dengan seorang perempuan :</t>
  </si>
  <si>
    <t>Apabila di kemudian hari pernyataan ini tidak benar, maka saya bersedia dituntut sesuai dengan hukum dan peraturan perundang-undangan yang berlaku.</t>
  </si>
  <si>
    <t>Demikian surat pernyataan ini saya buat agar dapat dipergunakan sebagaimana mestinya.</t>
  </si>
  <si>
    <t>Saksi-saksi :</t>
  </si>
  <si>
    <t>Yang Menyatakan</t>
  </si>
  <si>
    <t xml:space="preserve">1.      </t>
  </si>
  <si>
    <t>………………………</t>
  </si>
  <si>
    <t>(……………………………)</t>
  </si>
  <si>
    <t>MATERAI 10.000</t>
  </si>
  <si>
    <t xml:space="preserve">2.      </t>
  </si>
  <si>
    <t>RT 001 RW 001 Tambi Watukumpul</t>
  </si>
  <si>
    <t>untuk menjadi wali hakim pernikahan saya dengan calon suami saya yang bernama Mukim  bin Kasmah</t>
  </si>
  <si>
    <t>29 Mei 2026</t>
  </si>
  <si>
    <t>08.00 WIB</t>
  </si>
  <si>
    <t>JURI</t>
  </si>
  <si>
    <t>BELUM KAWIN</t>
  </si>
  <si>
    <t>BELUM/ TIDAK BEKERJA</t>
  </si>
  <si>
    <t>3327040107740063</t>
  </si>
  <si>
    <t>PETANI/ PEKEBUN</t>
  </si>
  <si>
    <t>AYAH KANDUNG</t>
  </si>
  <si>
    <t>Maskawin</t>
  </si>
  <si>
    <t>UNWAN FALAHI</t>
  </si>
  <si>
    <t>RATAM</t>
  </si>
  <si>
    <t>PEMALANG, 08 MARET 1966</t>
  </si>
  <si>
    <t>RT 002 RW 001 DESA TAMBI KECAMATAN WATUKUMPUL KABUPATEN PEMALANG</t>
  </si>
  <si>
    <t>IKNA SABELA</t>
  </si>
  <si>
    <t>WARYONO</t>
  </si>
  <si>
    <t>PEMALANG, 05 OKTOBER 2008</t>
  </si>
  <si>
    <t>RT 003 RW 001 DESA TAMBI KECAMATAN WATUKUMPUL KABUPATEN PEMALANG</t>
  </si>
  <si>
    <t>3327042306970003</t>
  </si>
  <si>
    <t>BURUH HARIAN LEPAS</t>
  </si>
  <si>
    <t>3327044510080002</t>
  </si>
  <si>
    <t>WIRASWASTA</t>
  </si>
  <si>
    <t>Kamis</t>
  </si>
  <si>
    <t>400.12.3.2/007/ VII/ 2026</t>
  </si>
  <si>
    <t>, TAMBI, 29 JULI 2026</t>
  </si>
  <si>
    <t>2026-09-23</t>
  </si>
  <si>
    <t>Rabu</t>
  </si>
  <si>
    <t>JAM. 08.00</t>
  </si>
  <si>
    <t>DI RUMAH MEMPELAI PUTRI RT 010 RW 002 DESA TAMBI WATUKUMPUL PEMALANG</t>
  </si>
  <si>
    <t>SAEFULOH</t>
  </si>
  <si>
    <t>KUNENI</t>
  </si>
  <si>
    <t>PURBALINGGA , 07 APRIL 2000</t>
  </si>
  <si>
    <t>3303170704000001</t>
  </si>
  <si>
    <t>KARYAWAN SWASTA</t>
  </si>
  <si>
    <t/>
  </si>
  <si>
    <t>RT 004 RW 001 DESA JINGKANG KECAMATAN KARANGJAMBU KABUPATEN PURBALINGGA</t>
  </si>
  <si>
    <t>SLTA</t>
  </si>
  <si>
    <t>SANBISRI</t>
  </si>
  <si>
    <t>3303170406740001</t>
  </si>
  <si>
    <t>PURBALINGGA, 04 JUNI 1974</t>
  </si>
  <si>
    <t>DARYATI</t>
  </si>
  <si>
    <t>SUMIARTO</t>
  </si>
  <si>
    <t>3303174705800003</t>
  </si>
  <si>
    <t>PURBALINGGA, 07 JUNI 1980</t>
  </si>
  <si>
    <t>SUSILAH</t>
  </si>
  <si>
    <t>RUSMAN</t>
  </si>
  <si>
    <t>PEMALANG, 11 SEPTEMBER 1999</t>
  </si>
  <si>
    <t>3327045109990007</t>
  </si>
  <si>
    <t>RT 002 RW 004 DESA TAMBI KECAMATAN WATUKUMPUL KABUPATEN PEMALANG</t>
  </si>
  <si>
    <t>MARTA</t>
  </si>
  <si>
    <t>PEMALANG, 01 JULI 1974</t>
  </si>
  <si>
    <t>KHOSINGAH</t>
  </si>
  <si>
    <t>NASIR</t>
  </si>
  <si>
    <t>3327044107810112</t>
  </si>
  <si>
    <t>PEMALANG 01 JULI 1981</t>
  </si>
  <si>
    <t>RUSMAN BIN MARTA</t>
  </si>
  <si>
    <t>PEMALANG, 04 MEI 1966</t>
  </si>
  <si>
    <t>3327040405660002</t>
  </si>
  <si>
    <t>KEPALA DESA</t>
  </si>
  <si>
    <t>RT 010 RW 002 DESA TAMBI KECAMATAN WATUKUMPUL KABUPATEN PEMALANG</t>
  </si>
  <si>
    <t>GHOFUR</t>
  </si>
  <si>
    <t>PURBALINGGA, 10 FEBRUARI 1988</t>
  </si>
  <si>
    <t>3303171002880003</t>
  </si>
  <si>
    <t>RT 001 RW 001 DESA JINGKANG KECAMATAN KARANGJAMBU KABUPATEN PURBALINGGA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</si>
</sst>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@\ * &quot;:&quot;"/>
    <numFmt numFmtId="165" formatCode="dd\-mm\-yyyy"/>
    <numFmt numFmtId="166" formatCode="dd\ mmmm\ yyyy"/>
  </numFmts>
  <fonts count="33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rial"/>
      <family val="2"/>
    </font>
    <font>
      <sz val="14"/>
      <color theme="1"/>
      <name val="Arial"/>
      <family val="2"/>
    </font>
    <font>
      <u/>
      <sz val="14"/>
      <color theme="1"/>
      <name val="Arial"/>
      <family val="2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u/>
      <sz val="11"/>
      <color theme="1"/>
      <name val="Arial"/>
      <family val="2"/>
    </font>
    <font>
      <b/>
      <sz val="12"/>
      <color theme="1"/>
      <name val="Arial"/>
      <family val="2"/>
    </font>
    <font>
      <sz val="14"/>
      <color rgb="FFFF0000"/>
      <name val="Arial"/>
      <family val="2"/>
    </font>
    <font>
      <sz val="11"/>
      <color rgb="FFFF000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7030A0"/>
      <name val="Calibri"/>
      <family val="2"/>
      <scheme val="minor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sz val="11"/>
      <color theme="0"/>
      <name val="Calibri"/>
      <family val="2"/>
    </font>
    <font>
      <sz val="8"/>
      <color theme="1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  <charset val="1"/>
      <scheme val="minor"/>
    </font>
    <font>
      <b/>
      <sz val="14"/>
      <color theme="1"/>
      <name val="Arial"/>
      <family val="2"/>
    </font>
    <font>
      <b/>
      <u/>
      <sz val="14"/>
      <color theme="10"/>
      <name val="Calibri"/>
      <family val="2"/>
      <scheme val="minor"/>
    </font>
    <font>
      <i/>
      <sz val="14"/>
      <color theme="1"/>
      <name val="Arial"/>
      <family val="2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C4BD97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/>
  </cellStyleXfs>
  <cellXfs count="11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/>
    <xf numFmtId="0" fontId="4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0" fontId="14" fillId="0" borderId="0" xfId="0" applyFont="1"/>
    <xf numFmtId="0" fontId="15" fillId="2" borderId="0" xfId="0" applyFont="1" applyFill="1"/>
    <xf numFmtId="0" fontId="16" fillId="2" borderId="0" xfId="0" applyFont="1" applyFill="1"/>
    <xf numFmtId="0" fontId="15" fillId="2" borderId="0" xfId="0" applyFont="1" applyFill="1" applyAlignment="1">
      <alignment horizontal="center" wrapText="1"/>
    </xf>
    <xf numFmtId="0" fontId="0" fillId="0" borderId="0" xfId="0" quotePrefix="1"/>
    <xf numFmtId="0" fontId="0" fillId="2" borderId="0" xfId="0" applyFill="1"/>
    <xf numFmtId="0" fontId="17" fillId="3" borderId="0" xfId="0" applyFont="1" applyFill="1"/>
    <xf numFmtId="0" fontId="16" fillId="3" borderId="0" xfId="0" applyFont="1" applyFill="1"/>
    <xf numFmtId="0" fontId="0" fillId="3" borderId="0" xfId="0" applyFill="1"/>
    <xf numFmtId="0" fontId="2" fillId="0" borderId="0" xfId="0" applyFont="1" applyAlignment="1">
      <alignment horizontal="left" wrapText="1"/>
    </xf>
    <xf numFmtId="0" fontId="10" fillId="0" borderId="0" xfId="0" applyFont="1" applyAlignment="1">
      <alignment horizontal="center"/>
    </xf>
    <xf numFmtId="0" fontId="9" fillId="0" borderId="0" xfId="0" applyFont="1"/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2" fillId="0" borderId="0" xfId="0" applyFont="1" applyAlignment="1"/>
    <xf numFmtId="0" fontId="2" fillId="0" borderId="0" xfId="0" applyFont="1" applyAlignment="1">
      <alignment horizontal="left"/>
    </xf>
    <xf numFmtId="0" fontId="5" fillId="0" borderId="0" xfId="0" applyFont="1" applyAlignment="1"/>
    <xf numFmtId="0" fontId="7" fillId="0" borderId="0" xfId="0" applyFont="1" applyAlignment="1"/>
    <xf numFmtId="49" fontId="0" fillId="0" borderId="0" xfId="0" quotePrefix="1" applyNumberFormat="1"/>
    <xf numFmtId="49" fontId="2" fillId="0" borderId="0" xfId="0" applyNumberFormat="1" applyFont="1"/>
    <xf numFmtId="14" fontId="2" fillId="0" borderId="0" xfId="0" applyNumberFormat="1" applyFont="1"/>
    <xf numFmtId="0" fontId="0" fillId="0" borderId="1" xfId="0" applyBorder="1"/>
    <xf numFmtId="49" fontId="10" fillId="0" borderId="0" xfId="0" applyNumberFormat="1" applyFont="1"/>
    <xf numFmtId="0" fontId="2" fillId="0" borderId="0" xfId="0" quotePrefix="1" applyFont="1"/>
    <xf numFmtId="14" fontId="10" fillId="0" borderId="0" xfId="0" applyNumberFormat="1" applyFont="1"/>
    <xf numFmtId="0" fontId="10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64" fontId="2" fillId="0" borderId="0" xfId="0" applyNumberFormat="1" applyFont="1"/>
    <xf numFmtId="164" fontId="2" fillId="0" borderId="0" xfId="0" applyNumberFormat="1" applyFont="1" applyAlignment="1">
      <alignment horizontal="left" vertical="center"/>
    </xf>
    <xf numFmtId="0" fontId="0" fillId="0" borderId="1" xfId="0" applyBorder="1" applyAlignment="1">
      <alignment horizontal="center"/>
    </xf>
    <xf numFmtId="0" fontId="21" fillId="0" borderId="0" xfId="0" applyFont="1" applyAlignment="1">
      <alignment vertical="center"/>
    </xf>
    <xf numFmtId="0" fontId="21" fillId="0" borderId="0" xfId="0" applyFont="1"/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49" fontId="21" fillId="0" borderId="0" xfId="0" applyNumberFormat="1" applyFont="1" applyAlignment="1">
      <alignment horizontal="left" vertical="center"/>
    </xf>
    <xf numFmtId="0" fontId="0" fillId="0" borderId="0" xfId="0" applyFont="1" applyAlignment="1"/>
    <xf numFmtId="0" fontId="21" fillId="0" borderId="0" xfId="0" applyFont="1" applyAlignment="1">
      <alignment vertical="center" wrapText="1"/>
    </xf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horizontal="right" vertical="top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left" vertical="center"/>
    </xf>
    <xf numFmtId="0" fontId="25" fillId="0" borderId="0" xfId="0" applyFont="1"/>
    <xf numFmtId="0" fontId="20" fillId="0" borderId="0" xfId="0" applyFont="1" applyAlignment="1">
      <alignment vertical="center"/>
    </xf>
    <xf numFmtId="0" fontId="21" fillId="0" borderId="0" xfId="0" applyFont="1" applyAlignment="1">
      <alignment horizontal="left" vertical="center"/>
    </xf>
    <xf numFmtId="165" fontId="21" fillId="0" borderId="0" xfId="0" applyNumberFormat="1" applyFont="1" applyAlignme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49" fontId="0" fillId="0" borderId="0" xfId="0" applyNumberFormat="1"/>
    <xf numFmtId="0" fontId="2" fillId="0" borderId="0" xfId="0" applyFont="1" applyAlignment="1">
      <alignment horizontal="center" vertical="center"/>
    </xf>
    <xf numFmtId="49" fontId="22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center"/>
    </xf>
    <xf numFmtId="0" fontId="21" fillId="0" borderId="0" xfId="0" applyFont="1" applyAlignment="1">
      <alignment horizontal="left" vertical="center" wrapText="1"/>
    </xf>
    <xf numFmtId="0" fontId="0" fillId="0" borderId="0" xfId="0" applyFont="1" applyAlignment="1"/>
    <xf numFmtId="0" fontId="21" fillId="0" borderId="0" xfId="0" applyFont="1" applyAlignment="1">
      <alignment horizontal="left" vertical="center"/>
    </xf>
    <xf numFmtId="0" fontId="28" fillId="0" borderId="0" xfId="1"/>
    <xf numFmtId="0" fontId="0" fillId="0" borderId="5" xfId="0" applyBorder="1"/>
    <xf numFmtId="0" fontId="5" fillId="0" borderId="0" xfId="0" applyFont="1"/>
    <xf numFmtId="0" fontId="29" fillId="0" borderId="0" xfId="0" applyFont="1"/>
    <xf numFmtId="0" fontId="30" fillId="4" borderId="1" xfId="1" quotePrefix="1" applyFont="1" applyFill="1" applyBorder="1" applyAlignment="1">
      <alignment horizontal="center" vertical="center"/>
    </xf>
    <xf numFmtId="0" fontId="30" fillId="0" borderId="5" xfId="1" applyFont="1" applyBorder="1" applyAlignment="1">
      <alignment horizontal="center" vertical="center"/>
    </xf>
    <xf numFmtId="0" fontId="30" fillId="0" borderId="0" xfId="1" applyFont="1" applyAlignment="1"/>
    <xf numFmtId="0" fontId="31" fillId="0" borderId="0" xfId="0" applyFont="1" applyAlignment="1"/>
    <xf numFmtId="0" fontId="32" fillId="0" borderId="0" xfId="0" applyFont="1"/>
    <xf numFmtId="166" fontId="0" fillId="0" borderId="0" xfId="0" applyNumberFormat="1" applyAlignment="1">
      <alignment horizontal="left"/>
    </xf>
    <xf numFmtId="0" fontId="21" fillId="0" borderId="0" xfId="0" applyFont="1" applyAlignment="1">
      <alignment horizontal="left" vertical="center"/>
    </xf>
    <xf numFmtId="49" fontId="21" fillId="5" borderId="0" xfId="0" applyNumberFormat="1" applyFont="1" applyFill="1" applyBorder="1" applyAlignment="1">
      <alignment horizontal="left" vertical="center"/>
    </xf>
    <xf numFmtId="165" fontId="0" fillId="0" borderId="0" xfId="0" applyNumberFormat="1" applyFont="1" applyAlignment="1"/>
    <xf numFmtId="0" fontId="21" fillId="0" borderId="0" xfId="0" applyFont="1" applyAlignment="1"/>
    <xf numFmtId="165" fontId="19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 vertical="top" wrapText="1"/>
    </xf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4" fillId="0" borderId="0" xfId="0" applyFont="1" applyAlignment="1">
      <alignment horizontal="left" wrapText="1"/>
    </xf>
    <xf numFmtId="165" fontId="4" fillId="0" borderId="0" xfId="0" applyNumberFormat="1" applyFont="1" applyAlignment="1">
      <alignment horizontal="left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5" fontId="2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21" fillId="0" borderId="0" xfId="0" applyFont="1" applyAlignment="1">
      <alignment horizontal="left" vertical="center" wrapText="1"/>
    </xf>
    <xf numFmtId="0" fontId="0" fillId="0" borderId="0" xfId="0" applyFont="1" applyAlignment="1"/>
    <xf numFmtId="165" fontId="21" fillId="0" borderId="0" xfId="0" applyNumberFormat="1" applyFont="1" applyAlignment="1">
      <alignment horizontal="center"/>
    </xf>
    <xf numFmtId="0" fontId="26" fillId="0" borderId="2" xfId="0" applyFont="1" applyBorder="1" applyAlignment="1">
      <alignment horizontal="center"/>
    </xf>
    <xf numFmtId="0" fontId="27" fillId="0" borderId="3" xfId="0" applyFont="1" applyBorder="1"/>
    <xf numFmtId="0" fontId="27" fillId="0" borderId="4" xfId="0" applyFont="1" applyBorder="1"/>
    <xf numFmtId="0" fontId="21" fillId="0" borderId="0" xfId="0" applyFont="1" applyAlignment="1">
      <alignment horizontal="center"/>
    </xf>
    <xf numFmtId="0" fontId="23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/>
    </xf>
    <xf numFmtId="165" fontId="21" fillId="0" borderId="0" xfId="0" applyNumberFormat="1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</xdr:colOff>
      <xdr:row>0</xdr:row>
      <xdr:rowOff>0</xdr:rowOff>
    </xdr:from>
    <xdr:to>
      <xdr:col>6</xdr:col>
      <xdr:colOff>514349</xdr:colOff>
      <xdr:row>3</xdr:row>
      <xdr:rowOff>9525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1780BD43-F0F2-4775-8C6E-3B67AB7DBC4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0"/>
          <a:ext cx="504824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</xdr:colOff>
      <xdr:row>0</xdr:row>
      <xdr:rowOff>0</xdr:rowOff>
    </xdr:from>
    <xdr:to>
      <xdr:col>6</xdr:col>
      <xdr:colOff>514349</xdr:colOff>
      <xdr:row>2</xdr:row>
      <xdr:rowOff>142875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1780BD43-F0F2-4775-8C6E-3B67AB7DBC4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0"/>
          <a:ext cx="504824" cy="552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47</xdr:row>
      <xdr:rowOff>85725</xdr:rowOff>
    </xdr:from>
    <xdr:to>
      <xdr:col>13</xdr:col>
      <xdr:colOff>9525</xdr:colOff>
      <xdr:row>47</xdr:row>
      <xdr:rowOff>104775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FA534958-5930-4463-B38E-4597B78FB3B0}"/>
            </a:ext>
          </a:extLst>
        </xdr:cNvPr>
        <xdr:cNvCxnSpPr/>
      </xdr:nvCxnSpPr>
      <xdr:spPr>
        <a:xfrm>
          <a:off x="57150" y="8620125"/>
          <a:ext cx="5924550" cy="19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47</xdr:row>
      <xdr:rowOff>85725</xdr:rowOff>
    </xdr:from>
    <xdr:to>
      <xdr:col>13</xdr:col>
      <xdr:colOff>9525</xdr:colOff>
      <xdr:row>47</xdr:row>
      <xdr:rowOff>104775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FA534958-5930-4463-B38E-4597B78FB3B0}"/>
            </a:ext>
          </a:extLst>
        </xdr:cNvPr>
        <xdr:cNvCxnSpPr/>
      </xdr:nvCxnSpPr>
      <xdr:spPr>
        <a:xfrm>
          <a:off x="57150" y="8620125"/>
          <a:ext cx="5514975" cy="19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190502</xdr:colOff>
      <xdr:row>0</xdr:row>
      <xdr:rowOff>0</xdr:rowOff>
    </xdr:from>
    <xdr:to>
      <xdr:col>6</xdr:col>
      <xdr:colOff>495301</xdr:colOff>
      <xdr:row>3</xdr:row>
      <xdr:rowOff>9525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C629F247-BD29-4493-9B15-4644A6AD5F0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2" y="0"/>
          <a:ext cx="504824" cy="5524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190502</xdr:colOff>
      <xdr:row>0</xdr:row>
      <xdr:rowOff>0</xdr:rowOff>
    </xdr:from>
    <xdr:to>
      <xdr:col>6</xdr:col>
      <xdr:colOff>495301</xdr:colOff>
      <xdr:row>3</xdr:row>
      <xdr:rowOff>9525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C629F247-BD29-4493-9B15-4644A6AD5F0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2" y="0"/>
          <a:ext cx="504824" cy="5524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608734</xdr:colOff>
      <xdr:row>33</xdr:row>
      <xdr:rowOff>138545</xdr:rowOff>
    </xdr:from>
    <xdr:to>
      <xdr:col>2</xdr:col>
      <xdr:colOff>640772</xdr:colOff>
      <xdr:row>35</xdr:row>
      <xdr:rowOff>86590</xdr:rowOff>
    </xdr:to>
    <xdr:sp macro="" textlink="">
      <xdr:nvSpPr>
        <xdr:cNvPr id="2" name="Rectangle 1">
          <a:extLst>
            <a:ext uri="{FF2B5EF4-FFF2-40B4-BE49-F238E27FC236}">
              <a16:creationId xmlns="" xmlns:a16="http://schemas.microsoft.com/office/drawing/2014/main" id="{9FBF63D0-8DF5-46B3-892B-B55FC274DD6B}"/>
            </a:ext>
          </a:extLst>
        </xdr:cNvPr>
        <xdr:cNvSpPr/>
      </xdr:nvSpPr>
      <xdr:spPr>
        <a:xfrm>
          <a:off x="1266825" y="5853545"/>
          <a:ext cx="690129" cy="29440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Materai</a:t>
          </a:r>
          <a:r>
            <a:rPr lang="en-US" sz="1100" baseline="0"/>
            <a:t> 10000</a:t>
          </a:r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85725</xdr:colOff>
      <xdr:row>0</xdr:row>
      <xdr:rowOff>104775</xdr:rowOff>
    </xdr:from>
    <xdr:to>
      <xdr:col>7</xdr:col>
      <xdr:colOff>386715</xdr:colOff>
      <xdr:row>3</xdr:row>
      <xdr:rowOff>142875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6D6EB8EC-A5F4-442B-BC71-07B56800275B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-14000" contrast="26000"/>
        </a:blip>
        <a:srcRect/>
        <a:stretch>
          <a:fillRect/>
        </a:stretch>
      </xdr:blipFill>
      <xdr:spPr bwMode="auto">
        <a:xfrm>
          <a:off x="2505075" y="104775"/>
          <a:ext cx="548640" cy="609600"/>
        </a:xfrm>
        <a:prstGeom prst="rect">
          <a:avLst/>
        </a:prstGeom>
        <a:noFill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638175</xdr:colOff>
      <xdr:row>0</xdr:row>
      <xdr:rowOff>0</xdr:rowOff>
    </xdr:from>
    <xdr:to>
      <xdr:col>3</xdr:col>
      <xdr:colOff>533399</xdr:colOff>
      <xdr:row>3</xdr:row>
      <xdr:rowOff>9525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6C0FB257-CB7E-4C37-B5C2-950C07C6A3F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1775" y="0"/>
          <a:ext cx="542924" cy="552450"/>
        </a:xfrm>
        <a:prstGeom prst="rect">
          <a:avLst/>
        </a:prstGeom>
      </xdr:spPr>
    </xdr:pic>
    <xdr:clientData/>
  </xdr:twoCellAnchor>
  <xdr:twoCellAnchor editAs="oneCell">
    <xdr:from>
      <xdr:col>4</xdr:col>
      <xdr:colOff>209550</xdr:colOff>
      <xdr:row>41</xdr:row>
      <xdr:rowOff>47624</xdr:rowOff>
    </xdr:from>
    <xdr:to>
      <xdr:col>8</xdr:col>
      <xdr:colOff>76200</xdr:colOff>
      <xdr:row>52</xdr:row>
      <xdr:rowOff>31089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8550" y="7496174"/>
          <a:ext cx="2181225" cy="1983715"/>
        </a:xfrm>
        <a:prstGeom prst="rect">
          <a:avLst/>
        </a:prstGeom>
      </xdr:spPr>
    </xdr:pic>
    <xdr:clientData/>
  </xdr:twoCellAnchor>
  <xdr:twoCellAnchor editAs="oneCell">
    <xdr:from>
      <xdr:col>6</xdr:col>
      <xdr:colOff>329896</xdr:colOff>
      <xdr:row>45</xdr:row>
      <xdr:rowOff>0</xdr:rowOff>
    </xdr:from>
    <xdr:to>
      <xdr:col>8</xdr:col>
      <xdr:colOff>200025</xdr:colOff>
      <xdr:row>49</xdr:row>
      <xdr:rowOff>168187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39971" y="8172450"/>
          <a:ext cx="1203629" cy="8920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57150</xdr:colOff>
      <xdr:row>0</xdr:row>
      <xdr:rowOff>28575</xdr:rowOff>
    </xdr:from>
    <xdr:to>
      <xdr:col>15</xdr:col>
      <xdr:colOff>129540</xdr:colOff>
      <xdr:row>2</xdr:row>
      <xdr:rowOff>228600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6D6EB8EC-A5F4-442B-BC71-07B56800275B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-14000" contrast="26000"/>
        </a:blip>
        <a:srcRect/>
        <a:stretch>
          <a:fillRect/>
        </a:stretch>
      </xdr:blipFill>
      <xdr:spPr bwMode="auto">
        <a:xfrm>
          <a:off x="2790825" y="28575"/>
          <a:ext cx="548640" cy="609600"/>
        </a:xfrm>
        <a:prstGeom prst="rect">
          <a:avLst/>
        </a:prstGeom>
        <a:noFill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57150</xdr:colOff>
      <xdr:row>0</xdr:row>
      <xdr:rowOff>28575</xdr:rowOff>
    </xdr:from>
    <xdr:to>
      <xdr:col>15</xdr:col>
      <xdr:colOff>129540</xdr:colOff>
      <xdr:row>2</xdr:row>
      <xdr:rowOff>228600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6D6EB8EC-A5F4-442B-BC71-07B56800275B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-14000" contrast="26000"/>
        </a:blip>
        <a:srcRect/>
        <a:stretch>
          <a:fillRect/>
        </a:stretch>
      </xdr:blipFill>
      <xdr:spPr bwMode="auto">
        <a:xfrm>
          <a:off x="2790825" y="28575"/>
          <a:ext cx="548640" cy="6096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80"/>
  <sheetViews>
    <sheetView zoomScaleNormal="100" workbookViewId="0">
      <selection activeCell="J19" sqref="J19"/>
    </sheetView>
  </sheetViews>
  <sheetFormatPr defaultRowHeight="15" x14ac:dyDescent="0.25"/>
  <cols>
    <col min="1" max="1" width="5.42578125" style="1" customWidth="1"/>
    <col min="6" max="6" width="4.42578125" customWidth="1"/>
    <col min="7" max="7" width="18" bestFit="1" customWidth="1"/>
  </cols>
  <sheetData>
    <row r="2" spans="1:17" x14ac:dyDescent="0.25">
      <c r="A2" s="1" t="s">
        <v>172</v>
      </c>
      <c r="B2" s="12" t="s">
        <v>173</v>
      </c>
      <c r="C2" s="12"/>
      <c r="F2" t="s">
        <v>25</v>
      </c>
      <c r="G2" t="s">
        <v>326</v>
      </c>
      <c r="P2" s="67" t="str">
        <f>HYPERLINK("#'N1 LAKI-LAKI'!A1", "⬅️ N LAKI-LAKI")</f>
        <v>⬅️ N LAKI-LAKI</v>
      </c>
      <c r="Q2" s="3"/>
    </row>
    <row r="3" spans="1:17" ht="15.75" thickBot="1" x14ac:dyDescent="0.3">
      <c r="B3" s="12" t="s">
        <v>174</v>
      </c>
      <c r="C3" s="12"/>
      <c r="F3" t="s">
        <v>25</v>
      </c>
      <c r="G3" t="s">
        <v>256</v>
      </c>
      <c r="H3" t="s">
        <v>327</v>
      </c>
      <c r="P3" s="67" t="str">
        <f>HYPERLINK("#'N1 PEREMPUAN'!A1", "⬅️ N1 PEREMPUAN")</f>
        <v>⬅️ N1 PEREMPUAN</v>
      </c>
      <c r="Q3" s="3"/>
    </row>
    <row r="4" spans="1:17" ht="15.75" thickBot="1" x14ac:dyDescent="0.3">
      <c r="B4" s="12" t="s">
        <v>175</v>
      </c>
      <c r="C4" s="12"/>
      <c r="F4" t="s">
        <v>25</v>
      </c>
      <c r="G4" s="76" t="s">
        <v>328</v>
      </c>
      <c r="I4" s="68" t="s">
        <v>329</v>
      </c>
      <c r="K4" t="s">
        <v>265</v>
      </c>
      <c r="P4" s="67" t="str">
        <f>HYPERLINK("#'N1 LAKI-LAKI'!A1", "⬅️ N1 LAKI-LAKI")</f>
        <v>⬅️ N1 LAKI-LAKI</v>
      </c>
      <c r="Q4" s="3"/>
    </row>
    <row r="5" spans="1:17" x14ac:dyDescent="0.25">
      <c r="B5" s="12" t="s">
        <v>176</v>
      </c>
      <c r="C5" s="12"/>
      <c r="F5" t="s">
        <v>25</v>
      </c>
      <c r="G5" t="s">
        <v>330</v>
      </c>
      <c r="K5" s="33"/>
      <c r="P5" s="67" t="str">
        <f>HYPERLINK("#'N2 PEREMPUAN'!A1", "⬅️ N2 PEREMPUAN")</f>
        <v>⬅️ N2 PEREMPUAN</v>
      </c>
      <c r="Q5" s="3"/>
    </row>
    <row r="6" spans="1:17" x14ac:dyDescent="0.25">
      <c r="B6" s="12" t="s">
        <v>177</v>
      </c>
      <c r="C6" s="12"/>
      <c r="F6" t="s">
        <v>25</v>
      </c>
      <c r="G6" t="s">
        <v>331</v>
      </c>
      <c r="P6" s="67" t="str">
        <f>HYPERLINK("#'N2 LAKI-LAKI'!A1", "⬅️ N2 LAKI-LAKI")</f>
        <v>⬅️ N2 LAKI-LAKI</v>
      </c>
      <c r="Q6" s="3"/>
    </row>
    <row r="7" spans="1:17" x14ac:dyDescent="0.25">
      <c r="B7" s="12"/>
      <c r="C7" s="12"/>
      <c r="P7" s="67" t="str">
        <f>HYPERLINK("#'N4 PEREMPUAN'!A1", "⬅️ N4 PEREMPUAN")</f>
        <v>⬅️ N4 PEREMPUAN</v>
      </c>
      <c r="Q7" s="3"/>
    </row>
    <row r="8" spans="1:17" x14ac:dyDescent="0.25">
      <c r="A8" s="1">
        <v>1</v>
      </c>
      <c r="B8" s="13" t="s">
        <v>178</v>
      </c>
      <c r="C8" s="14"/>
      <c r="D8" s="14"/>
      <c r="E8" s="14"/>
      <c r="F8" t="s">
        <v>25</v>
      </c>
      <c r="G8" t="s">
        <v>332</v>
      </c>
      <c r="P8" s="67" t="str">
        <f>HYPERLINK("#'N4 LAKI-LAKI'!A1", "⬅️ N4 LAKI-LAKI")</f>
        <v>⬅️ N4 LAKI-LAKI</v>
      </c>
      <c r="Q8" s="3"/>
    </row>
    <row r="9" spans="1:17" x14ac:dyDescent="0.25">
      <c r="A9" s="1">
        <v>2</v>
      </c>
      <c r="B9" s="13" t="s">
        <v>179</v>
      </c>
      <c r="C9" s="13"/>
      <c r="D9" s="13"/>
      <c r="E9" s="13"/>
      <c r="F9" t="s">
        <v>25</v>
      </c>
      <c r="G9" t="s">
        <v>333</v>
      </c>
      <c r="P9" s="67" t="str">
        <f>HYPERLINK("#'N5 LAKI-LAKI'!A1", "⬅️ N5 LAKI-LAKI")</f>
        <v>⬅️ N5 LAKI-LAKI</v>
      </c>
      <c r="Q9" s="3"/>
    </row>
    <row r="10" spans="1:17" x14ac:dyDescent="0.25">
      <c r="A10" s="1">
        <v>3</v>
      </c>
      <c r="B10" s="13" t="s">
        <v>180</v>
      </c>
      <c r="C10" s="13"/>
      <c r="D10" s="13"/>
      <c r="E10" s="15" t="s">
        <v>172</v>
      </c>
      <c r="F10" t="s">
        <v>25</v>
      </c>
      <c r="G10" t="s">
        <v>334</v>
      </c>
      <c r="J10" t="s">
        <v>288</v>
      </c>
      <c r="K10" s="33">
        <v>26</v>
      </c>
      <c r="P10" s="67" t="str">
        <f>HYPERLINK("#'N5 PEREMPUAN'!A1", "⬅️ N5 PEREMPUAN")</f>
        <v>⬅️ N5 PEREMPUAN</v>
      </c>
      <c r="Q10" s="3"/>
    </row>
    <row r="11" spans="1:17" x14ac:dyDescent="0.25">
      <c r="A11" s="1">
        <v>4</v>
      </c>
      <c r="B11" s="13" t="s">
        <v>139</v>
      </c>
      <c r="C11" s="13"/>
      <c r="D11" s="13"/>
      <c r="E11" s="13"/>
      <c r="F11" t="s">
        <v>25</v>
      </c>
      <c r="G11" s="78" t="s">
        <v>335</v>
      </c>
      <c r="P11" s="67" t="str">
        <f>HYPERLINK("#'N6 LAKI-LAKI'!A1", "⬅️ N6 LKI-LAKI")</f>
        <v>⬅️ N6 LKI-LAKI</v>
      </c>
      <c r="Q11" s="3"/>
    </row>
    <row r="12" spans="1:17" x14ac:dyDescent="0.25">
      <c r="A12" s="1">
        <v>5</v>
      </c>
      <c r="B12" s="13" t="s">
        <v>181</v>
      </c>
      <c r="C12" s="13"/>
      <c r="D12" s="13"/>
      <c r="E12" s="13"/>
      <c r="F12" t="s">
        <v>25</v>
      </c>
      <c r="G12" t="s">
        <v>336</v>
      </c>
      <c r="P12" s="67" t="str">
        <f>HYPERLINK("#'RDS'!A1", "⬅️ MENUJU RDS")</f>
        <v>⬅️ MENUJU RDS</v>
      </c>
      <c r="Q12" s="3"/>
    </row>
    <row r="13" spans="1:17" x14ac:dyDescent="0.25">
      <c r="A13" s="1">
        <v>6</v>
      </c>
      <c r="B13" s="13" t="s">
        <v>182</v>
      </c>
      <c r="C13" s="13"/>
      <c r="D13" s="13"/>
      <c r="E13" s="13"/>
      <c r="F13" t="s">
        <v>25</v>
      </c>
      <c r="G13" t="s">
        <v>307</v>
      </c>
      <c r="P13" s="67" t="str">
        <f>HYPERLINK("#'KENDALI PELAKSANAAN IJAB'!A1", "⬅️ KENDAI PEL IJAB")</f>
        <v>⬅️ KENDAI PEL IJAB</v>
      </c>
      <c r="Q13" s="3"/>
    </row>
    <row r="14" spans="1:17" x14ac:dyDescent="0.25">
      <c r="A14" s="1">
        <v>7</v>
      </c>
      <c r="B14" s="13" t="s">
        <v>183</v>
      </c>
      <c r="C14" s="13"/>
      <c r="D14" s="13"/>
      <c r="E14" s="13"/>
      <c r="F14" t="s">
        <v>25</v>
      </c>
      <c r="G14" t="s">
        <v>184</v>
      </c>
      <c r="P14" s="67" t="str">
        <f>HYPERLINK("#'PERNYATAAN WALI HAKIM'!A1", "⬅️ WALI HAKIM")</f>
        <v>⬅️ WALI HAKIM</v>
      </c>
      <c r="Q14" s="3"/>
    </row>
    <row r="15" spans="1:17" x14ac:dyDescent="0.25">
      <c r="A15" s="1">
        <v>8</v>
      </c>
      <c r="B15" s="13" t="s">
        <v>185</v>
      </c>
      <c r="C15" s="13"/>
      <c r="D15" s="13"/>
      <c r="E15" s="13"/>
      <c r="F15" t="s">
        <v>25</v>
      </c>
      <c r="G15" t="s">
        <v>337</v>
      </c>
      <c r="P15" s="67" t="str">
        <f>HYPERLINK("#'SURAT KETERANGAN WALI'!A1", "⬅️ SUKET WALI")</f>
        <v>⬅️ SUKET WALI</v>
      </c>
    </row>
    <row r="16" spans="1:17" x14ac:dyDescent="0.25">
      <c r="A16" s="1">
        <v>9</v>
      </c>
      <c r="B16" s="13" t="s">
        <v>186</v>
      </c>
      <c r="C16" s="13"/>
      <c r="D16" s="13"/>
      <c r="E16" s="13"/>
      <c r="F16" t="s">
        <v>25</v>
      </c>
      <c r="G16" t="s">
        <v>338</v>
      </c>
      <c r="P16" s="67" t="str">
        <f>HYPERLINK("#'DISPENSASI'!A1", "⬅️ DISPENSASI")</f>
        <v>⬅️ DISPENSASI</v>
      </c>
    </row>
    <row r="17" spans="1:16" x14ac:dyDescent="0.25">
      <c r="A17" s="1">
        <v>10</v>
      </c>
      <c r="B17" s="13" t="s">
        <v>272</v>
      </c>
      <c r="C17" s="13"/>
      <c r="D17" s="13"/>
      <c r="E17" s="13"/>
      <c r="F17" t="s">
        <v>25</v>
      </c>
      <c r="G17" t="s">
        <v>339</v>
      </c>
      <c r="P17" s="67" t="str">
        <f>HYPERLINK("#'STATUS CATIN PR'!A1", "⬅️ STATUS CATIN PR")</f>
        <v>⬅️ STATUS CATIN PR</v>
      </c>
    </row>
    <row r="18" spans="1:16" x14ac:dyDescent="0.25">
      <c r="B18" t="s">
        <v>172</v>
      </c>
      <c r="P18" s="67" t="str">
        <f>HYPERLINK("#'STATUS LAKI-LAKI'!A1", "⬅️ STATUS LAKI-LAKI")</f>
        <v>⬅️ STATUS LAKI-LAKI</v>
      </c>
    </row>
    <row r="19" spans="1:16" x14ac:dyDescent="0.25">
      <c r="A19" s="1">
        <v>1</v>
      </c>
      <c r="B19" s="13" t="s">
        <v>187</v>
      </c>
      <c r="C19" s="17"/>
      <c r="D19" s="17"/>
      <c r="E19" s="17"/>
      <c r="F19" t="s">
        <v>25</v>
      </c>
      <c r="G19" t="s">
        <v>333</v>
      </c>
      <c r="I19" t="s">
        <v>264</v>
      </c>
      <c r="J19" t="s">
        <v>340</v>
      </c>
    </row>
    <row r="20" spans="1:16" x14ac:dyDescent="0.25">
      <c r="A20" s="1">
        <v>2</v>
      </c>
      <c r="B20" s="13" t="s">
        <v>139</v>
      </c>
      <c r="C20" s="17"/>
      <c r="D20" s="17"/>
      <c r="E20" s="17"/>
      <c r="F20" t="s">
        <v>25</v>
      </c>
      <c r="G20" s="30" t="s">
        <v>341</v>
      </c>
    </row>
    <row r="21" spans="1:16" x14ac:dyDescent="0.25">
      <c r="A21" s="1">
        <v>3</v>
      </c>
      <c r="B21" s="13" t="s">
        <v>180</v>
      </c>
      <c r="C21" s="17"/>
      <c r="D21" s="17"/>
      <c r="E21" s="17"/>
      <c r="F21" t="s">
        <v>25</v>
      </c>
      <c r="G21" t="s">
        <v>342</v>
      </c>
      <c r="J21" t="s">
        <v>288</v>
      </c>
      <c r="K21">
        <v>52</v>
      </c>
    </row>
    <row r="22" spans="1:16" x14ac:dyDescent="0.25">
      <c r="A22" s="1">
        <v>4</v>
      </c>
      <c r="B22" s="13" t="s">
        <v>181</v>
      </c>
      <c r="C22" s="17"/>
      <c r="D22" s="17"/>
      <c r="E22" s="17"/>
      <c r="F22" t="s">
        <v>25</v>
      </c>
      <c r="G22" t="s">
        <v>310</v>
      </c>
    </row>
    <row r="23" spans="1:16" x14ac:dyDescent="0.25">
      <c r="A23" s="1">
        <v>5</v>
      </c>
      <c r="B23" s="13" t="s">
        <v>186</v>
      </c>
      <c r="C23" s="17"/>
      <c r="D23" s="17"/>
      <c r="E23" s="17"/>
      <c r="F23" t="s">
        <v>25</v>
      </c>
      <c r="G23" t="s">
        <v>338</v>
      </c>
    </row>
    <row r="26" spans="1:16" x14ac:dyDescent="0.25">
      <c r="A26" s="1">
        <v>1</v>
      </c>
      <c r="B26" s="13" t="s">
        <v>188</v>
      </c>
      <c r="C26" s="17"/>
      <c r="D26" s="17"/>
      <c r="E26" s="17"/>
      <c r="G26" t="s">
        <v>343</v>
      </c>
      <c r="H26" t="s">
        <v>179</v>
      </c>
      <c r="I26" t="s">
        <v>344</v>
      </c>
    </row>
    <row r="27" spans="1:16" x14ac:dyDescent="0.25">
      <c r="A27" s="1">
        <v>2</v>
      </c>
      <c r="B27" s="13" t="s">
        <v>139</v>
      </c>
      <c r="C27" s="17"/>
      <c r="D27" s="17"/>
      <c r="E27" s="17"/>
      <c r="G27" s="30" t="s">
        <v>345</v>
      </c>
    </row>
    <row r="28" spans="1:16" x14ac:dyDescent="0.25">
      <c r="A28" s="1">
        <v>3</v>
      </c>
      <c r="B28" s="13" t="s">
        <v>180</v>
      </c>
      <c r="C28" s="17"/>
      <c r="D28" s="17"/>
      <c r="E28" s="17"/>
      <c r="G28" t="s">
        <v>346</v>
      </c>
      <c r="J28" t="s">
        <v>288</v>
      </c>
      <c r="K28" s="33">
        <v>46</v>
      </c>
    </row>
    <row r="29" spans="1:16" x14ac:dyDescent="0.25">
      <c r="A29" s="1">
        <v>4</v>
      </c>
      <c r="B29" s="13" t="s">
        <v>181</v>
      </c>
      <c r="C29" s="17"/>
      <c r="D29" s="17"/>
      <c r="E29" s="17"/>
      <c r="G29" t="s">
        <v>189</v>
      </c>
    </row>
    <row r="30" spans="1:16" x14ac:dyDescent="0.25">
      <c r="A30" s="1">
        <v>5</v>
      </c>
      <c r="B30" s="13" t="s">
        <v>186</v>
      </c>
      <c r="C30" s="17"/>
      <c r="D30" s="17"/>
      <c r="E30" s="17"/>
      <c r="G30" t="s">
        <v>338</v>
      </c>
    </row>
    <row r="34" spans="1:11" x14ac:dyDescent="0.25">
      <c r="A34" s="1">
        <v>1</v>
      </c>
      <c r="B34" s="18" t="s">
        <v>190</v>
      </c>
      <c r="C34" s="19"/>
      <c r="D34" s="19"/>
      <c r="E34" s="19"/>
      <c r="F34" t="s">
        <v>25</v>
      </c>
      <c r="G34" t="s">
        <v>347</v>
      </c>
    </row>
    <row r="35" spans="1:11" x14ac:dyDescent="0.25">
      <c r="A35" s="1">
        <v>2</v>
      </c>
      <c r="B35" s="18" t="s">
        <v>191</v>
      </c>
      <c r="C35" s="18"/>
      <c r="D35" s="18"/>
      <c r="E35" s="18"/>
      <c r="F35" t="s">
        <v>25</v>
      </c>
      <c r="G35" t="s">
        <v>348</v>
      </c>
    </row>
    <row r="36" spans="1:11" x14ac:dyDescent="0.25">
      <c r="A36" s="1">
        <v>3</v>
      </c>
      <c r="B36" s="18" t="s">
        <v>180</v>
      </c>
      <c r="C36" s="18"/>
      <c r="D36" s="18"/>
      <c r="E36" s="18"/>
      <c r="F36" t="s">
        <v>25</v>
      </c>
      <c r="G36" t="s">
        <v>349</v>
      </c>
      <c r="J36" t="s">
        <v>288</v>
      </c>
      <c r="K36" s="42">
        <v>27</v>
      </c>
    </row>
    <row r="37" spans="1:11" x14ac:dyDescent="0.25">
      <c r="A37" s="1">
        <v>4</v>
      </c>
      <c r="B37" s="18" t="s">
        <v>139</v>
      </c>
      <c r="C37" s="18"/>
      <c r="D37" s="18"/>
      <c r="E37" s="18"/>
      <c r="F37" t="s">
        <v>25</v>
      </c>
      <c r="G37" s="30" t="s">
        <v>350</v>
      </c>
    </row>
    <row r="38" spans="1:11" x14ac:dyDescent="0.25">
      <c r="A38" s="1">
        <v>5</v>
      </c>
      <c r="B38" s="18" t="s">
        <v>181</v>
      </c>
      <c r="C38" s="18"/>
      <c r="D38" s="18"/>
      <c r="E38" s="18"/>
      <c r="F38" t="s">
        <v>25</v>
      </c>
      <c r="G38" t="s">
        <v>308</v>
      </c>
    </row>
    <row r="39" spans="1:11" x14ac:dyDescent="0.25">
      <c r="A39" s="1">
        <v>6</v>
      </c>
      <c r="B39" s="18" t="s">
        <v>182</v>
      </c>
      <c r="C39" s="18"/>
      <c r="D39" s="18"/>
      <c r="E39" s="18"/>
      <c r="F39" t="s">
        <v>25</v>
      </c>
      <c r="G39" t="s">
        <v>307</v>
      </c>
    </row>
    <row r="40" spans="1:11" x14ac:dyDescent="0.25">
      <c r="A40" s="1">
        <v>7</v>
      </c>
      <c r="B40" s="18" t="s">
        <v>183</v>
      </c>
      <c r="C40" s="18"/>
      <c r="D40" s="18"/>
      <c r="E40" s="18"/>
      <c r="F40" t="s">
        <v>25</v>
      </c>
      <c r="G40" t="s">
        <v>260</v>
      </c>
    </row>
    <row r="41" spans="1:11" x14ac:dyDescent="0.25">
      <c r="A41" s="1">
        <v>8</v>
      </c>
      <c r="B41" s="18" t="s">
        <v>186</v>
      </c>
      <c r="C41" s="18"/>
      <c r="D41" s="18"/>
      <c r="E41" s="18"/>
      <c r="F41" t="s">
        <v>25</v>
      </c>
      <c r="G41" t="s">
        <v>351</v>
      </c>
    </row>
    <row r="42" spans="1:11" x14ac:dyDescent="0.25">
      <c r="A42" s="1">
        <v>9</v>
      </c>
      <c r="B42" s="18" t="s">
        <v>192</v>
      </c>
      <c r="C42" s="18"/>
      <c r="D42" s="18"/>
      <c r="E42" s="18"/>
      <c r="F42" t="s">
        <v>25</v>
      </c>
    </row>
    <row r="43" spans="1:11" x14ac:dyDescent="0.25">
      <c r="A43" s="1">
        <v>10</v>
      </c>
      <c r="B43" s="18" t="s">
        <v>272</v>
      </c>
      <c r="C43" s="18"/>
      <c r="D43" s="18"/>
      <c r="E43" s="18"/>
      <c r="F43" t="s">
        <v>25</v>
      </c>
      <c r="G43" t="s">
        <v>339</v>
      </c>
    </row>
    <row r="44" spans="1:11" x14ac:dyDescent="0.25">
      <c r="B44" s="20"/>
      <c r="C44" s="20"/>
      <c r="D44" s="20"/>
      <c r="E44" s="20"/>
    </row>
    <row r="45" spans="1:11" x14ac:dyDescent="0.25">
      <c r="A45" s="1">
        <v>1</v>
      </c>
      <c r="B45" s="19" t="s">
        <v>193</v>
      </c>
      <c r="C45" s="19"/>
      <c r="D45" s="19"/>
      <c r="E45" s="20"/>
      <c r="F45" t="s">
        <v>25</v>
      </c>
      <c r="G45" t="s">
        <v>348</v>
      </c>
      <c r="H45" t="s">
        <v>179</v>
      </c>
      <c r="I45" s="33" t="s">
        <v>352</v>
      </c>
    </row>
    <row r="46" spans="1:11" x14ac:dyDescent="0.25">
      <c r="A46" s="1">
        <v>2</v>
      </c>
      <c r="B46" s="20" t="s">
        <v>139</v>
      </c>
      <c r="C46" s="20"/>
      <c r="D46" s="20"/>
      <c r="E46" s="20"/>
      <c r="F46" t="s">
        <v>25</v>
      </c>
      <c r="G46" s="30" t="s">
        <v>309</v>
      </c>
    </row>
    <row r="47" spans="1:11" x14ac:dyDescent="0.25">
      <c r="A47" s="1">
        <v>3</v>
      </c>
      <c r="B47" s="20" t="s">
        <v>180</v>
      </c>
      <c r="C47" s="20"/>
      <c r="D47" s="20"/>
      <c r="E47" s="20"/>
      <c r="F47" t="s">
        <v>25</v>
      </c>
      <c r="G47" t="s">
        <v>353</v>
      </c>
      <c r="J47" t="s">
        <v>288</v>
      </c>
      <c r="K47" s="42">
        <v>52</v>
      </c>
    </row>
    <row r="48" spans="1:11" x14ac:dyDescent="0.25">
      <c r="A48" s="1">
        <v>4</v>
      </c>
      <c r="B48" s="20" t="s">
        <v>181</v>
      </c>
      <c r="C48" s="20"/>
      <c r="D48" s="20"/>
      <c r="E48" s="20"/>
      <c r="F48" t="s">
        <v>25</v>
      </c>
      <c r="G48" t="s">
        <v>310</v>
      </c>
    </row>
    <row r="49" spans="1:11" x14ac:dyDescent="0.25">
      <c r="A49" s="1">
        <v>5</v>
      </c>
      <c r="B49" s="20" t="s">
        <v>186</v>
      </c>
      <c r="C49" s="20"/>
      <c r="D49" s="20"/>
      <c r="E49" s="20"/>
      <c r="F49" t="s">
        <v>25</v>
      </c>
      <c r="G49" t="s">
        <v>351</v>
      </c>
    </row>
    <row r="50" spans="1:11" x14ac:dyDescent="0.25">
      <c r="B50" s="20"/>
      <c r="C50" s="20"/>
      <c r="D50" s="20"/>
      <c r="E50" s="20"/>
    </row>
    <row r="51" spans="1:11" x14ac:dyDescent="0.25">
      <c r="B51" s="20"/>
      <c r="C51" s="20"/>
      <c r="D51" s="20"/>
      <c r="E51" s="20"/>
    </row>
    <row r="52" spans="1:11" x14ac:dyDescent="0.25">
      <c r="A52" s="1">
        <v>1</v>
      </c>
      <c r="B52" s="19" t="s">
        <v>194</v>
      </c>
      <c r="C52" s="19"/>
      <c r="D52" s="19"/>
      <c r="E52" s="20"/>
      <c r="F52" t="s">
        <v>25</v>
      </c>
      <c r="G52" t="s">
        <v>354</v>
      </c>
      <c r="H52" t="s">
        <v>179</v>
      </c>
      <c r="I52" s="33" t="s">
        <v>355</v>
      </c>
    </row>
    <row r="53" spans="1:11" x14ac:dyDescent="0.25">
      <c r="A53" s="1">
        <v>2</v>
      </c>
      <c r="B53" s="20" t="s">
        <v>139</v>
      </c>
      <c r="C53" s="20"/>
      <c r="D53" s="20"/>
      <c r="E53" s="20"/>
      <c r="F53" t="s">
        <v>25</v>
      </c>
      <c r="G53" s="30" t="s">
        <v>356</v>
      </c>
    </row>
    <row r="54" spans="1:11" x14ac:dyDescent="0.25">
      <c r="A54" s="1">
        <v>3</v>
      </c>
      <c r="B54" s="20" t="s">
        <v>180</v>
      </c>
      <c r="C54" s="20"/>
      <c r="D54" s="20"/>
      <c r="E54" s="20"/>
      <c r="F54" t="s">
        <v>25</v>
      </c>
      <c r="G54" t="s">
        <v>357</v>
      </c>
      <c r="J54" t="s">
        <v>288</v>
      </c>
      <c r="K54" s="33">
        <v>45</v>
      </c>
    </row>
    <row r="55" spans="1:11" x14ac:dyDescent="0.25">
      <c r="A55" s="1">
        <v>4</v>
      </c>
      <c r="B55" s="20" t="s">
        <v>181</v>
      </c>
      <c r="C55" s="20"/>
      <c r="D55" s="20"/>
      <c r="E55" s="20"/>
      <c r="F55" t="s">
        <v>25</v>
      </c>
      <c r="G55" t="s">
        <v>189</v>
      </c>
    </row>
    <row r="56" spans="1:11" x14ac:dyDescent="0.25">
      <c r="A56" s="1">
        <v>5</v>
      </c>
      <c r="B56" t="s">
        <v>186</v>
      </c>
      <c r="F56" t="s">
        <v>25</v>
      </c>
      <c r="G56" t="s">
        <v>351</v>
      </c>
    </row>
    <row r="58" spans="1:11" x14ac:dyDescent="0.25">
      <c r="A58" s="1">
        <v>1</v>
      </c>
      <c r="B58" t="s">
        <v>130</v>
      </c>
      <c r="E58" s="8"/>
      <c r="F58" t="s">
        <v>25</v>
      </c>
      <c r="G58" t="s">
        <v>348</v>
      </c>
    </row>
    <row r="59" spans="1:11" x14ac:dyDescent="0.25">
      <c r="A59" s="1">
        <v>2</v>
      </c>
      <c r="B59" t="s">
        <v>179</v>
      </c>
      <c r="E59" s="8"/>
      <c r="F59" t="s">
        <v>25</v>
      </c>
      <c r="G59" s="16" t="s">
        <v>352</v>
      </c>
    </row>
    <row r="60" spans="1:11" x14ac:dyDescent="0.25">
      <c r="A60" s="1">
        <v>3</v>
      </c>
      <c r="B60" t="s">
        <v>139</v>
      </c>
      <c r="E60" s="8" t="s">
        <v>172</v>
      </c>
      <c r="F60" t="s">
        <v>25</v>
      </c>
      <c r="G60" s="30" t="s">
        <v>309</v>
      </c>
    </row>
    <row r="61" spans="1:11" x14ac:dyDescent="0.25">
      <c r="A61" s="1">
        <v>4</v>
      </c>
      <c r="B61" t="s">
        <v>195</v>
      </c>
      <c r="E61" s="8" t="s">
        <v>172</v>
      </c>
      <c r="F61" t="s">
        <v>25</v>
      </c>
      <c r="G61" t="s">
        <v>353</v>
      </c>
      <c r="J61" t="s">
        <v>288</v>
      </c>
      <c r="K61">
        <v>52</v>
      </c>
    </row>
    <row r="62" spans="1:11" x14ac:dyDescent="0.25">
      <c r="A62" s="1">
        <v>5</v>
      </c>
      <c r="B62" t="s">
        <v>12</v>
      </c>
      <c r="E62" s="8" t="s">
        <v>172</v>
      </c>
      <c r="F62" t="s">
        <v>25</v>
      </c>
      <c r="G62" t="s">
        <v>310</v>
      </c>
    </row>
    <row r="63" spans="1:11" x14ac:dyDescent="0.25">
      <c r="A63" s="1">
        <v>6</v>
      </c>
      <c r="B63" t="s">
        <v>13</v>
      </c>
      <c r="E63" s="8" t="s">
        <v>172</v>
      </c>
      <c r="F63" t="s">
        <v>25</v>
      </c>
      <c r="G63" t="s">
        <v>351</v>
      </c>
    </row>
    <row r="64" spans="1:11" x14ac:dyDescent="0.25">
      <c r="A64" s="1">
        <v>7</v>
      </c>
      <c r="B64" t="s">
        <v>132</v>
      </c>
      <c r="E64" s="8" t="s">
        <v>172</v>
      </c>
      <c r="F64" t="s">
        <v>25</v>
      </c>
      <c r="G64" t="s">
        <v>311</v>
      </c>
    </row>
    <row r="65" spans="1:11" x14ac:dyDescent="0.25">
      <c r="A65" s="1">
        <v>8</v>
      </c>
      <c r="B65" t="s">
        <v>266</v>
      </c>
      <c r="F65" t="s">
        <v>25</v>
      </c>
      <c r="G65" s="33"/>
      <c r="H65" t="s">
        <v>312</v>
      </c>
      <c r="J65" s="33"/>
    </row>
    <row r="67" spans="1:11" x14ac:dyDescent="0.25">
      <c r="B67" t="s">
        <v>152</v>
      </c>
    </row>
    <row r="68" spans="1:11" x14ac:dyDescent="0.25">
      <c r="B68" t="s">
        <v>130</v>
      </c>
      <c r="G68" t="s">
        <v>358</v>
      </c>
    </row>
    <row r="70" spans="1:11" x14ac:dyDescent="0.25">
      <c r="A70" s="1">
        <v>1</v>
      </c>
      <c r="B70" t="s">
        <v>270</v>
      </c>
      <c r="F70" t="s">
        <v>25</v>
      </c>
      <c r="G70" t="s">
        <v>306</v>
      </c>
    </row>
    <row r="71" spans="1:11" x14ac:dyDescent="0.25">
      <c r="A71" s="1">
        <v>2</v>
      </c>
      <c r="B71" s="3" t="s">
        <v>118</v>
      </c>
      <c r="F71" t="s">
        <v>25</v>
      </c>
      <c r="G71" t="s">
        <v>359</v>
      </c>
      <c r="J71" t="s">
        <v>288</v>
      </c>
      <c r="K71">
        <v>60</v>
      </c>
    </row>
    <row r="72" spans="1:11" x14ac:dyDescent="0.25">
      <c r="A72" s="1">
        <v>3</v>
      </c>
      <c r="B72" s="3" t="s">
        <v>139</v>
      </c>
      <c r="F72" t="s">
        <v>25</v>
      </c>
      <c r="G72" s="60" t="s">
        <v>360</v>
      </c>
    </row>
    <row r="73" spans="1:11" x14ac:dyDescent="0.25">
      <c r="A73" s="1">
        <v>4</v>
      </c>
      <c r="B73" s="3" t="s">
        <v>12</v>
      </c>
      <c r="F73" t="s">
        <v>25</v>
      </c>
      <c r="G73" t="s">
        <v>361</v>
      </c>
    </row>
    <row r="74" spans="1:11" x14ac:dyDescent="0.25">
      <c r="A74" s="1">
        <v>5</v>
      </c>
      <c r="B74" s="3" t="s">
        <v>13</v>
      </c>
      <c r="F74" t="s">
        <v>25</v>
      </c>
      <c r="G74" t="s">
        <v>362</v>
      </c>
    </row>
    <row r="76" spans="1:11" x14ac:dyDescent="0.25">
      <c r="A76" s="1">
        <v>1</v>
      </c>
      <c r="B76" t="s">
        <v>271</v>
      </c>
      <c r="F76" t="s">
        <v>25</v>
      </c>
      <c r="G76" t="s">
        <v>363</v>
      </c>
    </row>
    <row r="77" spans="1:11" x14ac:dyDescent="0.25">
      <c r="A77" s="1">
        <v>2</v>
      </c>
      <c r="B77" s="3" t="s">
        <v>118</v>
      </c>
      <c r="F77" t="s">
        <v>25</v>
      </c>
      <c r="G77" t="s">
        <v>364</v>
      </c>
      <c r="J77" t="s">
        <v>288</v>
      </c>
      <c r="K77">
        <v>38</v>
      </c>
    </row>
    <row r="78" spans="1:11" x14ac:dyDescent="0.25">
      <c r="A78" s="1">
        <v>3</v>
      </c>
      <c r="B78" s="3" t="s">
        <v>139</v>
      </c>
      <c r="F78" t="s">
        <v>25</v>
      </c>
      <c r="G78" s="60" t="s">
        <v>365</v>
      </c>
    </row>
    <row r="79" spans="1:11" x14ac:dyDescent="0.25">
      <c r="A79" s="1">
        <v>4</v>
      </c>
      <c r="B79" s="3" t="s">
        <v>12</v>
      </c>
      <c r="F79" t="s">
        <v>25</v>
      </c>
      <c r="G79" t="s">
        <v>324</v>
      </c>
    </row>
    <row r="80" spans="1:11" x14ac:dyDescent="0.25">
      <c r="A80" s="1">
        <v>5</v>
      </c>
      <c r="B80" s="3" t="s">
        <v>13</v>
      </c>
      <c r="F80" t="s">
        <v>25</v>
      </c>
      <c r="G80" t="s">
        <v>366</v>
      </c>
    </row>
  </sheetData>
  <conditionalFormatting sqref="G11">
    <cfRule type="containsBlanks" dxfId="0" priority="1">
      <formula>LEN(TRIM(G11))=0</formula>
    </cfRule>
  </conditionalFormatting>
  <dataValidations count="1">
    <dataValidation type="decimal" allowBlank="1" sqref="G11">
      <formula1>1</formula1>
      <formula2>16</formula2>
    </dataValidation>
  </dataValidations>
  <pageMargins left="0.7" right="0.7" top="0.75" bottom="0.75" header="0.3" footer="0.3"/>
  <pageSetup paperSize="16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M52"/>
  <sheetViews>
    <sheetView showZeros="0" zoomScaleNormal="100" zoomScalePageLayoutView="70" workbookViewId="0"/>
  </sheetViews>
  <sheetFormatPr defaultRowHeight="14.25" x14ac:dyDescent="0.2"/>
  <cols>
    <col min="1" max="2" width="4" style="3" customWidth="1"/>
    <col min="3" max="5" width="9.140625" style="3"/>
    <col min="6" max="6" width="3.42578125" style="3" customWidth="1"/>
    <col min="7" max="12" width="9.140625" style="3"/>
    <col min="13" max="13" width="14.7109375" style="3" bestFit="1" customWidth="1"/>
    <col min="14" max="16384" width="9.140625" style="3"/>
  </cols>
  <sheetData>
    <row r="4" spans="1:13" ht="18.75" customHeight="1" x14ac:dyDescent="0.25">
      <c r="A4" s="85" t="s">
        <v>0</v>
      </c>
      <c r="B4" s="85"/>
      <c r="C4" s="85"/>
      <c r="D4" s="85"/>
      <c r="E4" s="85"/>
      <c r="F4" s="85"/>
      <c r="G4" s="85"/>
      <c r="H4" s="85"/>
      <c r="I4" s="85"/>
      <c r="J4" s="85"/>
      <c r="K4" s="85"/>
    </row>
    <row r="5" spans="1:13" ht="18.75" customHeight="1" x14ac:dyDescent="0.25">
      <c r="A5" s="85" t="s">
        <v>1</v>
      </c>
      <c r="B5" s="85"/>
      <c r="C5" s="85"/>
      <c r="D5" s="85"/>
      <c r="E5" s="85"/>
      <c r="F5" s="85"/>
      <c r="G5" s="85"/>
      <c r="H5" s="85"/>
      <c r="I5" s="85"/>
      <c r="J5" s="85"/>
      <c r="K5" s="85"/>
      <c r="M5" s="71" t="str">
        <f>HYPERLINK("#'Isian Data'!A1", "⬅️ Kembali ke Isisan Data")</f>
        <v>⬅️ Kembali ke Isisan Data</v>
      </c>
    </row>
    <row r="6" spans="1:13" ht="18.75" customHeight="1" x14ac:dyDescent="0.25">
      <c r="A6" s="86" t="s">
        <v>255</v>
      </c>
      <c r="B6" s="86"/>
      <c r="C6" s="86"/>
      <c r="D6" s="86"/>
      <c r="E6" s="86"/>
      <c r="F6" s="86"/>
      <c r="G6" s="28" t="str">
        <f>'ISIAN DATA'!G3</f>
        <v>TAMBI</v>
      </c>
      <c r="H6" s="28"/>
      <c r="I6" s="28"/>
      <c r="J6" s="28"/>
      <c r="K6" s="28"/>
    </row>
    <row r="7" spans="1:13" ht="15" x14ac:dyDescent="0.25">
      <c r="J7" s="5"/>
      <c r="K7" s="5" t="s">
        <v>28</v>
      </c>
      <c r="M7" s="67"/>
    </row>
    <row r="8" spans="1:13" ht="18" x14ac:dyDescent="0.25">
      <c r="A8" s="87" t="s">
        <v>2</v>
      </c>
      <c r="B8" s="87"/>
      <c r="C8" s="87"/>
      <c r="D8" s="87"/>
      <c r="E8" s="87"/>
      <c r="F8" s="87"/>
      <c r="G8" s="87"/>
      <c r="H8" s="87"/>
      <c r="I8" s="87"/>
      <c r="J8" s="87"/>
      <c r="K8" s="87"/>
      <c r="M8" s="67"/>
    </row>
    <row r="9" spans="1:13" ht="15.75" x14ac:dyDescent="0.25">
      <c r="A9" s="88" t="s">
        <v>257</v>
      </c>
      <c r="B9" s="88"/>
      <c r="C9" s="88"/>
      <c r="D9" s="88"/>
      <c r="E9" s="88"/>
      <c r="F9" s="29" t="str">
        <f>'ISIAN DATA'!G2</f>
        <v>400.12.3.2/007/ VII/ 2026</v>
      </c>
      <c r="G9" s="29"/>
      <c r="H9" s="29"/>
      <c r="I9" s="29"/>
      <c r="J9" s="29"/>
      <c r="K9" s="29"/>
      <c r="M9" s="67"/>
    </row>
    <row r="10" spans="1:13" ht="15" x14ac:dyDescent="0.25">
      <c r="M10" s="67"/>
    </row>
    <row r="11" spans="1:13" ht="15" x14ac:dyDescent="0.25">
      <c r="A11" s="3" t="s">
        <v>3</v>
      </c>
      <c r="M11" s="67"/>
    </row>
    <row r="12" spans="1:13" ht="15" x14ac:dyDescent="0.25">
      <c r="A12" s="59">
        <v>1</v>
      </c>
      <c r="B12" s="82" t="s">
        <v>5</v>
      </c>
      <c r="C12" s="82"/>
      <c r="D12" s="82"/>
      <c r="E12" s="82"/>
      <c r="F12" s="3" t="s">
        <v>24</v>
      </c>
      <c r="G12" s="5" t="str">
        <f>'ISIAN DATA'!G34</f>
        <v>SUSILAH</v>
      </c>
      <c r="M12" s="67"/>
    </row>
    <row r="13" spans="1:13" ht="15" x14ac:dyDescent="0.25">
      <c r="A13" s="59">
        <v>2</v>
      </c>
      <c r="B13" s="84" t="s">
        <v>7</v>
      </c>
      <c r="C13" s="84"/>
      <c r="D13" s="84"/>
      <c r="E13" s="84"/>
      <c r="F13" s="3" t="s">
        <v>24</v>
      </c>
      <c r="G13" s="31" t="str">
        <f>'ISIAN DATA'!G37</f>
        <v>3327045109990007</v>
      </c>
      <c r="M13" s="67"/>
    </row>
    <row r="14" spans="1:13" ht="15" x14ac:dyDescent="0.25">
      <c r="A14" s="59">
        <v>3</v>
      </c>
      <c r="B14" s="82" t="s">
        <v>8</v>
      </c>
      <c r="C14" s="82"/>
      <c r="D14" s="82"/>
      <c r="E14" s="82"/>
      <c r="F14" s="3" t="s">
        <v>24</v>
      </c>
      <c r="G14" s="3" t="str">
        <f>'ISIAN DATA'!G40</f>
        <v>PEREMPUAN</v>
      </c>
      <c r="M14" s="67"/>
    </row>
    <row r="15" spans="1:13" ht="15" x14ac:dyDescent="0.25">
      <c r="A15" s="59">
        <v>4</v>
      </c>
      <c r="B15" s="82" t="s">
        <v>9</v>
      </c>
      <c r="C15" s="82"/>
      <c r="D15" s="82"/>
      <c r="E15" s="82"/>
      <c r="F15" s="3" t="s">
        <v>24</v>
      </c>
      <c r="G15" s="3" t="str">
        <f>'ISIAN DATA'!G36</f>
        <v>PEMALANG, 11 SEPTEMBER 1999</v>
      </c>
      <c r="M15" s="67"/>
    </row>
    <row r="16" spans="1:13" ht="15" x14ac:dyDescent="0.25">
      <c r="A16" s="59">
        <v>5</v>
      </c>
      <c r="B16" s="82" t="s">
        <v>10</v>
      </c>
      <c r="C16" s="82"/>
      <c r="D16" s="82"/>
      <c r="E16" s="82"/>
      <c r="F16" s="3" t="s">
        <v>24</v>
      </c>
      <c r="G16" s="3" t="s">
        <v>258</v>
      </c>
      <c r="M16" s="67"/>
    </row>
    <row r="17" spans="1:13" ht="15" x14ac:dyDescent="0.25">
      <c r="A17" s="59">
        <v>6</v>
      </c>
      <c r="B17" s="82" t="s">
        <v>11</v>
      </c>
      <c r="C17" s="82"/>
      <c r="D17" s="82"/>
      <c r="E17" s="82"/>
      <c r="F17" s="3" t="s">
        <v>24</v>
      </c>
      <c r="G17" s="3" t="s">
        <v>259</v>
      </c>
      <c r="M17" s="67"/>
    </row>
    <row r="18" spans="1:13" ht="15" x14ac:dyDescent="0.25">
      <c r="A18" s="59">
        <v>7</v>
      </c>
      <c r="B18" s="82" t="s">
        <v>12</v>
      </c>
      <c r="C18" s="82"/>
      <c r="D18" s="82"/>
      <c r="E18" s="82"/>
      <c r="F18" s="3" t="s">
        <v>24</v>
      </c>
      <c r="G18" s="3" t="str">
        <f>'ISIAN DATA'!G12</f>
        <v>KARYAWAN SWASTA</v>
      </c>
      <c r="M18" s="67"/>
    </row>
    <row r="19" spans="1:13" ht="15" x14ac:dyDescent="0.25">
      <c r="A19" s="59">
        <v>8</v>
      </c>
      <c r="B19" s="82" t="s">
        <v>13</v>
      </c>
      <c r="C19" s="82"/>
      <c r="D19" s="82"/>
      <c r="E19" s="82"/>
      <c r="F19" s="3" t="s">
        <v>24</v>
      </c>
      <c r="G19" s="83" t="str">
        <f>'ISIAN DATA'!G41</f>
        <v>RT 002 RW 004 DESA TAMBI KECAMATAN WATUKUMPUL KABUPATEN PEMALANG</v>
      </c>
      <c r="H19" s="83"/>
      <c r="I19" s="83"/>
      <c r="J19" s="83"/>
      <c r="K19" s="83"/>
      <c r="M19" s="67"/>
    </row>
    <row r="20" spans="1:13" x14ac:dyDescent="0.2">
      <c r="A20" s="59"/>
      <c r="G20" s="83"/>
      <c r="H20" s="83"/>
      <c r="I20" s="83"/>
      <c r="J20" s="83"/>
      <c r="K20" s="83"/>
    </row>
    <row r="21" spans="1:13" x14ac:dyDescent="0.2">
      <c r="A21" s="59">
        <v>9</v>
      </c>
      <c r="C21" s="3" t="s">
        <v>14</v>
      </c>
    </row>
    <row r="22" spans="1:13" x14ac:dyDescent="0.2">
      <c r="B22" s="59" t="s">
        <v>15</v>
      </c>
      <c r="C22" s="3" t="s">
        <v>16</v>
      </c>
      <c r="F22" s="3" t="s">
        <v>25</v>
      </c>
      <c r="G22" s="3" t="str">
        <f>'ISIAN DATA'!G39</f>
        <v>BELUM KAWIN</v>
      </c>
    </row>
    <row r="23" spans="1:13" x14ac:dyDescent="0.2">
      <c r="B23" s="59"/>
      <c r="C23" s="3" t="s">
        <v>17</v>
      </c>
      <c r="F23" s="3" t="s">
        <v>25</v>
      </c>
      <c r="G23" s="3" t="s">
        <v>26</v>
      </c>
    </row>
    <row r="24" spans="1:13" x14ac:dyDescent="0.2">
      <c r="B24" s="59" t="s">
        <v>18</v>
      </c>
      <c r="C24" s="3" t="s">
        <v>19</v>
      </c>
    </row>
    <row r="26" spans="1:13" x14ac:dyDescent="0.2">
      <c r="A26" s="3" t="s">
        <v>20</v>
      </c>
    </row>
    <row r="27" spans="1:13" x14ac:dyDescent="0.2">
      <c r="A27" s="3" t="s">
        <v>21</v>
      </c>
      <c r="F27" s="3" t="s">
        <v>25</v>
      </c>
      <c r="G27" s="3" t="str">
        <f>'ISIAN DATA'!G45</f>
        <v>RUSMAN</v>
      </c>
    </row>
    <row r="28" spans="1:13" x14ac:dyDescent="0.2">
      <c r="A28" s="3" t="s">
        <v>7</v>
      </c>
      <c r="F28" s="3" t="s">
        <v>25</v>
      </c>
      <c r="G28" s="3" t="str">
        <f>'ISIAN DATA'!G46</f>
        <v>3327040107740063</v>
      </c>
    </row>
    <row r="29" spans="1:13" x14ac:dyDescent="0.2">
      <c r="A29" s="3" t="s">
        <v>9</v>
      </c>
      <c r="F29" s="3" t="s">
        <v>25</v>
      </c>
      <c r="G29" s="3" t="str">
        <f>'ISIAN DATA'!G47</f>
        <v>PEMALANG, 01 JULI 1974</v>
      </c>
    </row>
    <row r="30" spans="1:13" x14ac:dyDescent="0.2">
      <c r="A30" s="3" t="s">
        <v>10</v>
      </c>
      <c r="F30" s="3" t="s">
        <v>25</v>
      </c>
      <c r="G30" s="3" t="str">
        <f>G16</f>
        <v>INDONESIA</v>
      </c>
    </row>
    <row r="31" spans="1:13" x14ac:dyDescent="0.2">
      <c r="A31" s="3" t="s">
        <v>11</v>
      </c>
      <c r="F31" s="3" t="s">
        <v>25</v>
      </c>
      <c r="G31" s="3" t="str">
        <f>G17</f>
        <v>ISLAM</v>
      </c>
    </row>
    <row r="32" spans="1:13" x14ac:dyDescent="0.2">
      <c r="A32" s="3" t="s">
        <v>12</v>
      </c>
      <c r="F32" s="3" t="s">
        <v>25</v>
      </c>
      <c r="G32" s="3" t="str">
        <f>'ISIAN DATA'!G48</f>
        <v>PETANI/ PEKEBUN</v>
      </c>
    </row>
    <row r="33" spans="1:11" x14ac:dyDescent="0.2">
      <c r="A33" s="3" t="s">
        <v>13</v>
      </c>
      <c r="F33" s="3" t="s">
        <v>25</v>
      </c>
      <c r="G33" s="83" t="str">
        <f>'ISIAN DATA'!G49</f>
        <v>RT 002 RW 004 DESA TAMBI KECAMATAN WATUKUMPUL KABUPATEN PEMALANG</v>
      </c>
      <c r="H33" s="83"/>
      <c r="I33" s="83"/>
      <c r="J33" s="83"/>
      <c r="K33" s="83"/>
    </row>
    <row r="34" spans="1:11" x14ac:dyDescent="0.2">
      <c r="G34" s="83"/>
      <c r="H34" s="83"/>
      <c r="I34" s="83"/>
      <c r="J34" s="83"/>
      <c r="K34" s="83"/>
    </row>
    <row r="35" spans="1:11" x14ac:dyDescent="0.2">
      <c r="A35" s="3" t="s">
        <v>22</v>
      </c>
    </row>
    <row r="36" spans="1:11" x14ac:dyDescent="0.2">
      <c r="A36" s="3" t="s">
        <v>21</v>
      </c>
      <c r="F36" s="3" t="s">
        <v>25</v>
      </c>
      <c r="G36" s="3" t="str">
        <f>'ISIAN DATA'!G52</f>
        <v>KHOSINGAH</v>
      </c>
    </row>
    <row r="37" spans="1:11" x14ac:dyDescent="0.2">
      <c r="A37" s="3" t="s">
        <v>7</v>
      </c>
      <c r="F37" s="3" t="s">
        <v>25</v>
      </c>
      <c r="G37" s="31" t="str">
        <f>'ISIAN DATA'!G53</f>
        <v>3327044107810112</v>
      </c>
    </row>
    <row r="38" spans="1:11" x14ac:dyDescent="0.2">
      <c r="A38" s="3" t="s">
        <v>9</v>
      </c>
      <c r="F38" s="3" t="s">
        <v>25</v>
      </c>
      <c r="G38" s="3" t="str">
        <f>'ISIAN DATA'!G54</f>
        <v>PEMALANG 01 JULI 1981</v>
      </c>
    </row>
    <row r="39" spans="1:11" x14ac:dyDescent="0.2">
      <c r="A39" s="3" t="s">
        <v>10</v>
      </c>
      <c r="F39" s="3" t="s">
        <v>25</v>
      </c>
      <c r="G39" s="3" t="s">
        <v>258</v>
      </c>
    </row>
    <row r="40" spans="1:11" x14ac:dyDescent="0.2">
      <c r="A40" s="3" t="s">
        <v>11</v>
      </c>
      <c r="F40" s="3" t="s">
        <v>25</v>
      </c>
      <c r="G40" s="3" t="s">
        <v>259</v>
      </c>
    </row>
    <row r="41" spans="1:11" x14ac:dyDescent="0.2">
      <c r="A41" s="3" t="s">
        <v>12</v>
      </c>
      <c r="F41" s="3" t="s">
        <v>25</v>
      </c>
      <c r="G41" s="3" t="str">
        <f>'ISIAN DATA'!G55</f>
        <v>Mengurus Rumah Tangga</v>
      </c>
    </row>
    <row r="42" spans="1:11" x14ac:dyDescent="0.2">
      <c r="A42" s="3" t="s">
        <v>13</v>
      </c>
      <c r="F42" s="3" t="s">
        <v>25</v>
      </c>
      <c r="G42" s="83" t="str">
        <f>'ISIAN DATA'!G41</f>
        <v>RT 002 RW 004 DESA TAMBI KECAMATAN WATUKUMPUL KABUPATEN PEMALANG</v>
      </c>
      <c r="H42" s="83"/>
      <c r="I42" s="83"/>
      <c r="J42" s="83"/>
      <c r="K42" s="83"/>
    </row>
    <row r="43" spans="1:11" x14ac:dyDescent="0.2">
      <c r="G43" s="83"/>
      <c r="H43" s="83"/>
      <c r="I43" s="83"/>
      <c r="J43" s="83"/>
      <c r="K43" s="83"/>
    </row>
    <row r="44" spans="1:11" x14ac:dyDescent="0.2">
      <c r="A44" s="3" t="s">
        <v>66</v>
      </c>
    </row>
    <row r="45" spans="1:11" x14ac:dyDescent="0.2">
      <c r="A45" s="3" t="s">
        <v>27</v>
      </c>
    </row>
    <row r="47" spans="1:11" x14ac:dyDescent="0.2">
      <c r="G47" s="58" t="str">
        <f>'ISIAN DATA'!G3</f>
        <v>TAMBI</v>
      </c>
      <c r="I47" s="58" t="str">
        <f>'ISIAN DATA'!H3</f>
        <v>, TAMBI, 29 JULI 2026</v>
      </c>
      <c r="J47" s="58"/>
    </row>
    <row r="48" spans="1:11" x14ac:dyDescent="0.2">
      <c r="G48" s="3" t="s">
        <v>261</v>
      </c>
    </row>
    <row r="52" spans="7:7" ht="15" x14ac:dyDescent="0.25">
      <c r="G52" s="5" t="s">
        <v>262</v>
      </c>
    </row>
  </sheetData>
  <mergeCells count="16">
    <mergeCell ref="B12:E12"/>
    <mergeCell ref="A4:K4"/>
    <mergeCell ref="A5:K5"/>
    <mergeCell ref="A6:F6"/>
    <mergeCell ref="A8:K8"/>
    <mergeCell ref="A9:E9"/>
    <mergeCell ref="B19:E19"/>
    <mergeCell ref="G19:K20"/>
    <mergeCell ref="G33:K34"/>
    <mergeCell ref="G42:K43"/>
    <mergeCell ref="B13:E13"/>
    <mergeCell ref="B14:E14"/>
    <mergeCell ref="B15:E15"/>
    <mergeCell ref="B16:E16"/>
    <mergeCell ref="B17:E17"/>
    <mergeCell ref="B18:E18"/>
  </mergeCells>
  <pageMargins left="0.45866141700000002" right="0.70866141699999996" top="0.74803149606299202" bottom="0.74803149606299202" header="0.31496062992126" footer="0.31496062992126"/>
  <pageSetup paperSize="169" orientation="portrait" horizontalDpi="4294967293" vertic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showZeros="0" topLeftCell="A58" zoomScaleNormal="100" zoomScalePageLayoutView="70" workbookViewId="0">
      <selection activeCell="M5" sqref="M5"/>
    </sheetView>
  </sheetViews>
  <sheetFormatPr defaultRowHeight="14.25" x14ac:dyDescent="0.2"/>
  <cols>
    <col min="1" max="2" width="4" style="3" customWidth="1"/>
    <col min="3" max="5" width="9.140625" style="3"/>
    <col min="6" max="6" width="3.42578125" style="3" customWidth="1"/>
    <col min="7" max="12" width="9.140625" style="3"/>
    <col min="13" max="13" width="22.85546875" style="3" customWidth="1"/>
    <col min="14" max="16384" width="9.140625" style="3"/>
  </cols>
  <sheetData>
    <row r="1" spans="1:13" ht="18" x14ac:dyDescent="0.25">
      <c r="A1" s="70"/>
    </row>
    <row r="4" spans="1:13" ht="18.75" customHeight="1" thickBot="1" x14ac:dyDescent="0.3">
      <c r="A4" s="85" t="s">
        <v>0</v>
      </c>
      <c r="B4" s="85"/>
      <c r="C4" s="85"/>
      <c r="D4" s="85"/>
      <c r="E4" s="85"/>
      <c r="F4" s="85"/>
      <c r="G4" s="85"/>
      <c r="H4" s="85"/>
      <c r="I4" s="85"/>
      <c r="J4" s="85"/>
      <c r="K4" s="85"/>
    </row>
    <row r="5" spans="1:13" ht="18.75" customHeight="1" thickBot="1" x14ac:dyDescent="0.3">
      <c r="A5" s="85" t="s">
        <v>1</v>
      </c>
      <c r="B5" s="85"/>
      <c r="C5" s="85"/>
      <c r="D5" s="85"/>
      <c r="E5" s="85"/>
      <c r="F5" s="85"/>
      <c r="G5" s="85"/>
      <c r="H5" s="85"/>
      <c r="I5" s="85"/>
      <c r="J5" s="85"/>
      <c r="K5" s="85"/>
      <c r="M5" s="72" t="str">
        <f>HYPERLINK("#'Isian Data'!A1", "⬅️ Kembali ke Isisan Data")</f>
        <v>⬅️ Kembali ke Isisan Data</v>
      </c>
    </row>
    <row r="6" spans="1:13" ht="18.75" customHeight="1" x14ac:dyDescent="0.25">
      <c r="A6" s="86" t="s">
        <v>255</v>
      </c>
      <c r="B6" s="86"/>
      <c r="C6" s="86"/>
      <c r="D6" s="86"/>
      <c r="E6" s="86"/>
      <c r="F6" s="86"/>
      <c r="G6" s="28" t="str">
        <f>'ISIAN DATA'!G3</f>
        <v>TAMBI</v>
      </c>
      <c r="H6" s="28"/>
      <c r="I6" s="28"/>
      <c r="J6" s="28"/>
      <c r="K6" s="28"/>
    </row>
    <row r="7" spans="1:13" ht="15" x14ac:dyDescent="0.25">
      <c r="J7" s="5"/>
      <c r="K7" s="5" t="s">
        <v>28</v>
      </c>
    </row>
    <row r="8" spans="1:13" ht="18" x14ac:dyDescent="0.25">
      <c r="A8" s="87" t="s">
        <v>2</v>
      </c>
      <c r="B8" s="87"/>
      <c r="C8" s="87"/>
      <c r="D8" s="87"/>
      <c r="E8" s="87"/>
      <c r="F8" s="87"/>
      <c r="G8" s="87"/>
      <c r="H8" s="87"/>
      <c r="I8" s="87"/>
      <c r="J8" s="87"/>
      <c r="K8" s="87"/>
    </row>
    <row r="9" spans="1:13" ht="15" x14ac:dyDescent="0.2">
      <c r="A9" s="88" t="s">
        <v>257</v>
      </c>
      <c r="B9" s="88"/>
      <c r="C9" s="88"/>
      <c r="D9" s="88"/>
      <c r="E9" s="88"/>
      <c r="F9" s="29" t="str">
        <f>'ISIAN DATA'!G2</f>
        <v>400.12.3.2/007/ VII/ 2026</v>
      </c>
      <c r="G9" s="29"/>
      <c r="H9" s="29"/>
      <c r="I9" s="29"/>
      <c r="J9" s="29"/>
      <c r="K9" s="29"/>
    </row>
    <row r="11" spans="1:13" x14ac:dyDescent="0.2">
      <c r="A11" s="3" t="s">
        <v>3</v>
      </c>
    </row>
    <row r="12" spans="1:13" ht="15" x14ac:dyDescent="0.25">
      <c r="A12" s="8">
        <v>1</v>
      </c>
      <c r="B12" s="82" t="s">
        <v>5</v>
      </c>
      <c r="C12" s="82"/>
      <c r="D12" s="82"/>
      <c r="E12" s="82"/>
      <c r="F12" s="3" t="s">
        <v>24</v>
      </c>
      <c r="G12" s="5" t="str">
        <f>'ISIAN DATA'!G8</f>
        <v>SAEFULOH</v>
      </c>
    </row>
    <row r="13" spans="1:13" x14ac:dyDescent="0.2">
      <c r="A13" s="8">
        <v>2</v>
      </c>
      <c r="B13" s="84" t="s">
        <v>7</v>
      </c>
      <c r="C13" s="84"/>
      <c r="D13" s="84"/>
      <c r="E13" s="84"/>
      <c r="F13" s="3" t="s">
        <v>24</v>
      </c>
      <c r="G13" s="31" t="str">
        <f>'ISIAN DATA'!G11</f>
        <v>3303170704000001</v>
      </c>
    </row>
    <row r="14" spans="1:13" x14ac:dyDescent="0.2">
      <c r="A14" s="8">
        <v>3</v>
      </c>
      <c r="B14" s="82" t="s">
        <v>8</v>
      </c>
      <c r="C14" s="82"/>
      <c r="D14" s="82"/>
      <c r="E14" s="82"/>
      <c r="F14" s="3" t="s">
        <v>24</v>
      </c>
      <c r="G14" s="3" t="str">
        <f>'ISIAN DATA'!G14</f>
        <v>Laki-Laki</v>
      </c>
    </row>
    <row r="15" spans="1:13" x14ac:dyDescent="0.2">
      <c r="A15" s="8">
        <v>4</v>
      </c>
      <c r="B15" s="82" t="s">
        <v>9</v>
      </c>
      <c r="C15" s="82"/>
      <c r="D15" s="82"/>
      <c r="E15" s="82"/>
      <c r="F15" s="3" t="s">
        <v>24</v>
      </c>
      <c r="G15" s="3" t="str">
        <f>'ISIAN DATA'!G10</f>
        <v>PURBALINGGA , 07 APRIL 2000</v>
      </c>
    </row>
    <row r="16" spans="1:13" x14ac:dyDescent="0.2">
      <c r="A16" s="8">
        <v>5</v>
      </c>
      <c r="B16" s="82" t="s">
        <v>10</v>
      </c>
      <c r="C16" s="82"/>
      <c r="D16" s="82"/>
      <c r="E16" s="82"/>
      <c r="F16" s="3" t="s">
        <v>24</v>
      </c>
      <c r="G16" s="3" t="s">
        <v>258</v>
      </c>
    </row>
    <row r="17" spans="1:11" x14ac:dyDescent="0.2">
      <c r="A17" s="8">
        <v>6</v>
      </c>
      <c r="B17" s="82" t="s">
        <v>11</v>
      </c>
      <c r="C17" s="82"/>
      <c r="D17" s="82"/>
      <c r="E17" s="82"/>
      <c r="F17" s="3" t="s">
        <v>24</v>
      </c>
      <c r="G17" s="3" t="s">
        <v>259</v>
      </c>
    </row>
    <row r="18" spans="1:11" x14ac:dyDescent="0.2">
      <c r="A18" s="8">
        <v>7</v>
      </c>
      <c r="B18" s="82" t="s">
        <v>12</v>
      </c>
      <c r="C18" s="82"/>
      <c r="D18" s="82"/>
      <c r="E18" s="82"/>
      <c r="F18" s="3" t="s">
        <v>24</v>
      </c>
      <c r="G18" s="3" t="str">
        <f>'ISIAN DATA'!G12</f>
        <v>KARYAWAN SWASTA</v>
      </c>
    </row>
    <row r="19" spans="1:11" x14ac:dyDescent="0.2">
      <c r="A19" s="8">
        <v>8</v>
      </c>
      <c r="B19" s="82" t="s">
        <v>13</v>
      </c>
      <c r="C19" s="82"/>
      <c r="D19" s="82"/>
      <c r="E19" s="82"/>
      <c r="F19" s="3" t="s">
        <v>24</v>
      </c>
      <c r="G19" s="83" t="str">
        <f>'ISIAN DATA'!G16</f>
        <v>RT 004 RW 001 DESA JINGKANG KECAMATAN KARANGJAMBU KABUPATEN PURBALINGGA</v>
      </c>
      <c r="H19" s="83"/>
      <c r="I19" s="83"/>
      <c r="J19" s="83"/>
      <c r="K19" s="83"/>
    </row>
    <row r="20" spans="1:11" x14ac:dyDescent="0.2">
      <c r="A20" s="8"/>
      <c r="G20" s="83"/>
      <c r="H20" s="83"/>
      <c r="I20" s="83"/>
      <c r="J20" s="83"/>
      <c r="K20" s="83"/>
    </row>
    <row r="21" spans="1:11" x14ac:dyDescent="0.2">
      <c r="A21" s="8">
        <v>9</v>
      </c>
      <c r="C21" s="3" t="s">
        <v>14</v>
      </c>
    </row>
    <row r="22" spans="1:11" x14ac:dyDescent="0.2">
      <c r="B22" s="8" t="s">
        <v>15</v>
      </c>
      <c r="C22" s="3" t="s">
        <v>16</v>
      </c>
      <c r="F22" s="3" t="s">
        <v>25</v>
      </c>
      <c r="G22" s="3" t="str">
        <f>'ISIAN DATA'!G13</f>
        <v>BELUM KAWIN</v>
      </c>
    </row>
    <row r="23" spans="1:11" x14ac:dyDescent="0.2">
      <c r="B23" s="8"/>
      <c r="C23" s="3" t="s">
        <v>17</v>
      </c>
      <c r="F23" s="3" t="s">
        <v>25</v>
      </c>
      <c r="G23" s="3" t="s">
        <v>26</v>
      </c>
    </row>
    <row r="24" spans="1:11" x14ac:dyDescent="0.2">
      <c r="B24" s="8" t="s">
        <v>18</v>
      </c>
      <c r="C24" s="3" t="s">
        <v>19</v>
      </c>
    </row>
    <row r="26" spans="1:11" x14ac:dyDescent="0.2">
      <c r="A26" s="3" t="s">
        <v>20</v>
      </c>
    </row>
    <row r="27" spans="1:11" x14ac:dyDescent="0.2">
      <c r="A27" s="3" t="s">
        <v>21</v>
      </c>
      <c r="F27" s="3" t="s">
        <v>25</v>
      </c>
      <c r="G27" s="3" t="str">
        <f>'ISIAN DATA'!G19</f>
        <v>KUNENI</v>
      </c>
    </row>
    <row r="28" spans="1:11" x14ac:dyDescent="0.2">
      <c r="A28" s="3" t="s">
        <v>7</v>
      </c>
      <c r="F28" s="3" t="s">
        <v>25</v>
      </c>
      <c r="G28" s="31" t="str">
        <f>'ISIAN DATA'!G20</f>
        <v>3303170406740001</v>
      </c>
    </row>
    <row r="29" spans="1:11" x14ac:dyDescent="0.2">
      <c r="A29" s="3" t="s">
        <v>9</v>
      </c>
      <c r="F29" s="3" t="s">
        <v>25</v>
      </c>
      <c r="G29" s="3" t="str">
        <f>'ISIAN DATA'!G21</f>
        <v>PURBALINGGA, 04 JUNI 1974</v>
      </c>
    </row>
    <row r="30" spans="1:11" x14ac:dyDescent="0.2">
      <c r="A30" s="3" t="s">
        <v>10</v>
      </c>
      <c r="F30" s="3" t="s">
        <v>25</v>
      </c>
      <c r="G30" s="3" t="str">
        <f>G16</f>
        <v>INDONESIA</v>
      </c>
    </row>
    <row r="31" spans="1:11" x14ac:dyDescent="0.2">
      <c r="A31" s="3" t="s">
        <v>11</v>
      </c>
      <c r="F31" s="3" t="s">
        <v>25</v>
      </c>
      <c r="G31" s="3" t="str">
        <f>G17</f>
        <v>ISLAM</v>
      </c>
    </row>
    <row r="32" spans="1:11" x14ac:dyDescent="0.2">
      <c r="A32" s="3" t="s">
        <v>12</v>
      </c>
      <c r="F32" s="3" t="s">
        <v>25</v>
      </c>
      <c r="G32" s="3" t="str">
        <f>'ISIAN DATA'!G22</f>
        <v>PETANI/ PEKEBUN</v>
      </c>
    </row>
    <row r="33" spans="1:11" x14ac:dyDescent="0.2">
      <c r="A33" s="3" t="s">
        <v>13</v>
      </c>
      <c r="F33" s="3" t="s">
        <v>25</v>
      </c>
      <c r="G33" s="83" t="str">
        <f>'ISIAN DATA'!G23</f>
        <v>RT 004 RW 001 DESA JINGKANG KECAMATAN KARANGJAMBU KABUPATEN PURBALINGGA</v>
      </c>
      <c r="H33" s="83"/>
      <c r="I33" s="83"/>
      <c r="J33" s="83"/>
      <c r="K33" s="83"/>
    </row>
    <row r="34" spans="1:11" x14ac:dyDescent="0.2">
      <c r="G34" s="83"/>
      <c r="H34" s="83"/>
      <c r="I34" s="83"/>
      <c r="J34" s="83"/>
      <c r="K34" s="83"/>
    </row>
    <row r="35" spans="1:11" x14ac:dyDescent="0.2">
      <c r="A35" s="3" t="s">
        <v>22</v>
      </c>
    </row>
    <row r="36" spans="1:11" x14ac:dyDescent="0.2">
      <c r="A36" s="3" t="s">
        <v>21</v>
      </c>
      <c r="F36" s="3" t="s">
        <v>25</v>
      </c>
      <c r="G36" s="3" t="str">
        <f>'ISIAN DATA'!G26</f>
        <v>DARYATI</v>
      </c>
    </row>
    <row r="37" spans="1:11" x14ac:dyDescent="0.2">
      <c r="A37" s="3" t="s">
        <v>7</v>
      </c>
      <c r="F37" s="3" t="s">
        <v>25</v>
      </c>
      <c r="G37" s="31" t="str">
        <f>'ISIAN DATA'!G27</f>
        <v>3303174705800003</v>
      </c>
    </row>
    <row r="38" spans="1:11" x14ac:dyDescent="0.2">
      <c r="A38" s="3" t="s">
        <v>9</v>
      </c>
      <c r="F38" s="3" t="s">
        <v>25</v>
      </c>
      <c r="G38" s="3" t="str">
        <f>'ISIAN DATA'!G28</f>
        <v>PURBALINGGA, 07 JUNI 1980</v>
      </c>
    </row>
    <row r="39" spans="1:11" x14ac:dyDescent="0.2">
      <c r="A39" s="3" t="s">
        <v>10</v>
      </c>
      <c r="F39" s="3" t="s">
        <v>25</v>
      </c>
      <c r="G39" s="3" t="s">
        <v>258</v>
      </c>
    </row>
    <row r="40" spans="1:11" x14ac:dyDescent="0.2">
      <c r="A40" s="3" t="s">
        <v>11</v>
      </c>
      <c r="F40" s="3" t="s">
        <v>25</v>
      </c>
      <c r="G40" s="3" t="s">
        <v>259</v>
      </c>
    </row>
    <row r="41" spans="1:11" x14ac:dyDescent="0.2">
      <c r="A41" s="3" t="s">
        <v>12</v>
      </c>
      <c r="F41" s="3" t="s">
        <v>25</v>
      </c>
      <c r="G41" s="3" t="str">
        <f>'ISIAN DATA'!G22</f>
        <v>PETANI/ PEKEBUN</v>
      </c>
    </row>
    <row r="42" spans="1:11" x14ac:dyDescent="0.2">
      <c r="A42" s="3" t="s">
        <v>13</v>
      </c>
      <c r="F42" s="3" t="s">
        <v>25</v>
      </c>
      <c r="G42" s="83" t="str">
        <f>'ISIAN DATA'!G30</f>
        <v>RT 004 RW 001 DESA JINGKANG KECAMATAN KARANGJAMBU KABUPATEN PURBALINGGA</v>
      </c>
      <c r="H42" s="83"/>
      <c r="I42" s="83"/>
      <c r="J42" s="83"/>
      <c r="K42" s="83"/>
    </row>
    <row r="43" spans="1:11" x14ac:dyDescent="0.2">
      <c r="G43" s="83"/>
      <c r="H43" s="83"/>
      <c r="I43" s="83"/>
      <c r="J43" s="83"/>
      <c r="K43" s="83"/>
    </row>
    <row r="44" spans="1:11" x14ac:dyDescent="0.2">
      <c r="A44" s="3" t="s">
        <v>66</v>
      </c>
    </row>
    <row r="45" spans="1:11" x14ac:dyDescent="0.2">
      <c r="A45" s="3" t="s">
        <v>27</v>
      </c>
    </row>
    <row r="47" spans="1:11" x14ac:dyDescent="0.2">
      <c r="G47" s="27" t="str">
        <f>'ISIAN DATA'!G3</f>
        <v>TAMBI</v>
      </c>
      <c r="I47" s="27" t="str">
        <f>'ISIAN DATA'!H3</f>
        <v>, TAMBI, 29 JULI 2026</v>
      </c>
      <c r="J47" s="27"/>
    </row>
    <row r="48" spans="1:11" x14ac:dyDescent="0.2">
      <c r="G48" s="3" t="s">
        <v>261</v>
      </c>
    </row>
    <row r="52" spans="7:7" ht="15" x14ac:dyDescent="0.25">
      <c r="G52" s="5" t="s">
        <v>262</v>
      </c>
    </row>
  </sheetData>
  <mergeCells count="16">
    <mergeCell ref="G33:K34"/>
    <mergeCell ref="G42:K43"/>
    <mergeCell ref="B19:E19"/>
    <mergeCell ref="A4:K4"/>
    <mergeCell ref="B12:E12"/>
    <mergeCell ref="B14:E14"/>
    <mergeCell ref="B15:E15"/>
    <mergeCell ref="B16:E16"/>
    <mergeCell ref="B17:E17"/>
    <mergeCell ref="A6:F6"/>
    <mergeCell ref="A9:E9"/>
    <mergeCell ref="G19:K20"/>
    <mergeCell ref="A5:K5"/>
    <mergeCell ref="A8:K8"/>
    <mergeCell ref="B13:E13"/>
    <mergeCell ref="B18:E18"/>
  </mergeCells>
  <pageMargins left="0.45866141700000002" right="0.70866141699999996" top="0.74803149606299202" bottom="0.74803149606299202" header="0.31496062992126" footer="0.31496062992126"/>
  <pageSetup paperSize="169" orientation="portrait" horizontalDpi="4294967293" vertic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3"/>
  <sheetViews>
    <sheetView tabSelected="1" view="pageLayout" zoomScaleNormal="115" workbookViewId="0">
      <selection activeCell="I14" sqref="I14"/>
    </sheetView>
  </sheetViews>
  <sheetFormatPr defaultRowHeight="14.25" x14ac:dyDescent="0.2"/>
  <cols>
    <col min="1" max="1" width="6.42578125" style="3" customWidth="1"/>
    <col min="2" max="5" width="2.5703125" style="3" customWidth="1"/>
    <col min="6" max="6" width="2.7109375" style="3" customWidth="1"/>
    <col min="7" max="16384" width="9.140625" style="3"/>
  </cols>
  <sheetData>
    <row r="1" spans="1:14" ht="18.75" x14ac:dyDescent="0.3">
      <c r="A1" s="89" t="s">
        <v>29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73" t="str">
        <f>HYPERLINK("#'Isian Data'!A1", "⬅️ Kembali ke Isisan Data")</f>
        <v>⬅️ Kembali ke Isisan Data</v>
      </c>
    </row>
    <row r="2" spans="1:14" x14ac:dyDescent="0.2">
      <c r="A2" s="89" t="s">
        <v>30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4"/>
    </row>
    <row r="4" spans="1:14" ht="15" x14ac:dyDescent="0.25">
      <c r="A4" s="3" t="s">
        <v>31</v>
      </c>
      <c r="C4" s="3" t="s">
        <v>25</v>
      </c>
      <c r="D4" s="90" t="s">
        <v>32</v>
      </c>
      <c r="E4" s="90"/>
      <c r="F4" s="90"/>
      <c r="G4" s="90"/>
      <c r="H4" s="90"/>
      <c r="I4" s="90"/>
      <c r="J4" s="90"/>
    </row>
    <row r="6" spans="1:14" x14ac:dyDescent="0.2">
      <c r="A6" s="3" t="s">
        <v>33</v>
      </c>
    </row>
    <row r="7" spans="1:14" x14ac:dyDescent="0.2">
      <c r="A7" s="3" t="s">
        <v>34</v>
      </c>
    </row>
    <row r="8" spans="1:14" x14ac:dyDescent="0.2">
      <c r="A8" s="3" t="s">
        <v>35</v>
      </c>
    </row>
    <row r="10" spans="1:14" x14ac:dyDescent="0.2">
      <c r="A10" s="3" t="s">
        <v>36</v>
      </c>
    </row>
    <row r="11" spans="1:14" x14ac:dyDescent="0.2">
      <c r="A11" s="3" t="s">
        <v>37</v>
      </c>
    </row>
    <row r="12" spans="1:14" x14ac:dyDescent="0.2">
      <c r="A12" s="3" t="s">
        <v>38</v>
      </c>
      <c r="F12" s="3" t="s">
        <v>25</v>
      </c>
      <c r="G12" s="3" t="str">
        <f>'ISIAN DATA'!G8</f>
        <v>SAEFULOH</v>
      </c>
    </row>
    <row r="13" spans="1:14" x14ac:dyDescent="0.2">
      <c r="A13" s="3" t="s">
        <v>39</v>
      </c>
      <c r="F13" s="3" t="s">
        <v>25</v>
      </c>
      <c r="G13" s="3" t="str">
        <f>'ISIAN DATA'!G34</f>
        <v>SUSILAH</v>
      </c>
    </row>
    <row r="14" spans="1:14" x14ac:dyDescent="0.2">
      <c r="A14" s="3" t="s">
        <v>40</v>
      </c>
      <c r="F14" s="3" t="s">
        <v>25</v>
      </c>
      <c r="G14" s="92" t="str">
        <f>'ISIAN DATA'!I4</f>
        <v>Rabu</v>
      </c>
      <c r="H14" s="92"/>
      <c r="I14" s="3" t="str">
        <f>'ISIAN DATA'!G4</f>
        <v>2026-09-23</v>
      </c>
    </row>
    <row r="15" spans="1:14" x14ac:dyDescent="0.2">
      <c r="A15" s="3" t="s">
        <v>41</v>
      </c>
      <c r="F15" s="3" t="s">
        <v>25</v>
      </c>
      <c r="G15" s="91" t="str">
        <f>'ISIAN DATA'!G41</f>
        <v>RT 002 RW 004 DESA TAMBI KECAMATAN WATUKUMPUL KABUPATEN PEMALANG</v>
      </c>
      <c r="H15" s="91"/>
      <c r="I15" s="91"/>
      <c r="J15" s="91"/>
      <c r="K15" s="91"/>
      <c r="L15" s="91"/>
      <c r="M15" s="91"/>
    </row>
    <row r="16" spans="1:14" x14ac:dyDescent="0.2">
      <c r="G16" s="91"/>
      <c r="H16" s="91"/>
      <c r="I16" s="91"/>
      <c r="J16" s="91"/>
      <c r="K16" s="91"/>
      <c r="L16" s="91"/>
      <c r="M16" s="91"/>
    </row>
    <row r="17" spans="1:5" x14ac:dyDescent="0.2">
      <c r="A17" s="3" t="s">
        <v>42</v>
      </c>
    </row>
    <row r="18" spans="1:5" ht="15" x14ac:dyDescent="0.25">
      <c r="A18" s="5" t="s">
        <v>50</v>
      </c>
      <c r="B18" s="5"/>
    </row>
    <row r="19" spans="1:5" x14ac:dyDescent="0.2">
      <c r="A19" s="59">
        <v>1</v>
      </c>
      <c r="C19" s="3" t="s">
        <v>43</v>
      </c>
    </row>
    <row r="20" spans="1:5" x14ac:dyDescent="0.2">
      <c r="A20" s="59">
        <v>2</v>
      </c>
      <c r="C20" s="6" t="s">
        <v>44</v>
      </c>
      <c r="D20" s="6"/>
      <c r="E20" s="6"/>
    </row>
    <row r="21" spans="1:5" x14ac:dyDescent="0.2">
      <c r="A21" s="59">
        <v>3</v>
      </c>
      <c r="C21" s="3" t="s">
        <v>45</v>
      </c>
    </row>
    <row r="22" spans="1:5" x14ac:dyDescent="0.2">
      <c r="A22" s="59">
        <v>4</v>
      </c>
      <c r="C22" s="3" t="s">
        <v>46</v>
      </c>
    </row>
    <row r="23" spans="1:5" x14ac:dyDescent="0.2">
      <c r="A23" s="59">
        <v>5</v>
      </c>
      <c r="C23" s="3" t="s">
        <v>47</v>
      </c>
    </row>
    <row r="24" spans="1:5" x14ac:dyDescent="0.2">
      <c r="A24" s="59">
        <v>6</v>
      </c>
      <c r="C24" s="3" t="s">
        <v>48</v>
      </c>
    </row>
    <row r="25" spans="1:5" x14ac:dyDescent="0.2">
      <c r="A25" s="59">
        <v>7</v>
      </c>
      <c r="C25" s="3" t="s">
        <v>49</v>
      </c>
    </row>
    <row r="27" spans="1:5" ht="15" x14ac:dyDescent="0.25">
      <c r="A27" s="5" t="s">
        <v>51</v>
      </c>
      <c r="B27" s="5"/>
    </row>
    <row r="28" spans="1:5" x14ac:dyDescent="0.2">
      <c r="A28" s="59">
        <v>1</v>
      </c>
      <c r="C28" s="3" t="s">
        <v>52</v>
      </c>
    </row>
    <row r="29" spans="1:5" x14ac:dyDescent="0.2">
      <c r="A29" s="59">
        <v>2</v>
      </c>
      <c r="C29" s="3" t="s">
        <v>53</v>
      </c>
    </row>
    <row r="30" spans="1:5" x14ac:dyDescent="0.2">
      <c r="A30" s="59">
        <v>3</v>
      </c>
      <c r="C30" s="3" t="s">
        <v>56</v>
      </c>
    </row>
    <row r="31" spans="1:5" x14ac:dyDescent="0.2">
      <c r="A31" s="59">
        <v>4</v>
      </c>
      <c r="C31" s="3" t="s">
        <v>55</v>
      </c>
    </row>
    <row r="32" spans="1:5" x14ac:dyDescent="0.2">
      <c r="A32" s="59">
        <v>5</v>
      </c>
      <c r="C32" s="3" t="s">
        <v>54</v>
      </c>
    </row>
    <row r="34" spans="1:11" x14ac:dyDescent="0.2">
      <c r="A34" s="3" t="s">
        <v>57</v>
      </c>
    </row>
    <row r="35" spans="1:11" x14ac:dyDescent="0.2">
      <c r="A35" s="3" t="s">
        <v>58</v>
      </c>
    </row>
    <row r="37" spans="1:11" x14ac:dyDescent="0.2">
      <c r="A37" s="3" t="s">
        <v>62</v>
      </c>
    </row>
    <row r="39" spans="1:11" x14ac:dyDescent="0.2">
      <c r="A39" s="3" t="s">
        <v>59</v>
      </c>
    </row>
    <row r="40" spans="1:11" x14ac:dyDescent="0.2">
      <c r="A40" s="3" t="s">
        <v>60</v>
      </c>
    </row>
    <row r="41" spans="1:11" x14ac:dyDescent="0.2">
      <c r="A41" s="3" t="s">
        <v>61</v>
      </c>
      <c r="K41" s="3" t="s">
        <v>63</v>
      </c>
    </row>
    <row r="45" spans="1:11" x14ac:dyDescent="0.2">
      <c r="A45" s="3" t="s">
        <v>64</v>
      </c>
      <c r="K45" s="3" t="str">
        <f>G13</f>
        <v>SUSILAH</v>
      </c>
    </row>
    <row r="49" spans="11:11" x14ac:dyDescent="0.2">
      <c r="K49" s="3" t="s">
        <v>65</v>
      </c>
    </row>
    <row r="53" spans="11:11" x14ac:dyDescent="0.2">
      <c r="K53" s="3" t="s">
        <v>263</v>
      </c>
    </row>
  </sheetData>
  <mergeCells count="5">
    <mergeCell ref="A1:M1"/>
    <mergeCell ref="A2:M2"/>
    <mergeCell ref="D4:J4"/>
    <mergeCell ref="G15:M16"/>
    <mergeCell ref="G14:H14"/>
  </mergeCells>
  <pageMargins left="0.70866141732283472" right="0.70866141732283472" top="0.74803149606299213" bottom="0.74803149606299213" header="0.31496062992125984" footer="0.31496062992125984"/>
  <pageSetup paperSize="169" orientation="portrait" horizontalDpi="4294967293" vertic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3"/>
  <sheetViews>
    <sheetView view="pageLayout" topLeftCell="A4" zoomScaleNormal="115" workbookViewId="0">
      <selection activeCell="G15" sqref="G15:M16"/>
    </sheetView>
  </sheetViews>
  <sheetFormatPr defaultRowHeight="14.25" x14ac:dyDescent="0.2"/>
  <cols>
    <col min="1" max="1" width="6.42578125" style="3" customWidth="1"/>
    <col min="2" max="5" width="2.5703125" style="3" customWidth="1"/>
    <col min="6" max="6" width="2.7109375" style="3" customWidth="1"/>
    <col min="7" max="16384" width="9.140625" style="3"/>
  </cols>
  <sheetData>
    <row r="1" spans="1:14" ht="18.75" x14ac:dyDescent="0.3">
      <c r="A1" s="89" t="s">
        <v>29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74" t="str">
        <f>HYPERLINK("#'Isian Data'!A1", "⬅️ Kembali ke Isisan Data")</f>
        <v>⬅️ Kembali ke Isisan Data</v>
      </c>
    </row>
    <row r="2" spans="1:14" x14ac:dyDescent="0.2">
      <c r="A2" s="89" t="s">
        <v>30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4"/>
    </row>
    <row r="4" spans="1:14" ht="15" x14ac:dyDescent="0.25">
      <c r="A4" s="3" t="s">
        <v>31</v>
      </c>
      <c r="C4" s="3" t="s">
        <v>25</v>
      </c>
      <c r="D4" s="90" t="s">
        <v>32</v>
      </c>
      <c r="E4" s="90"/>
      <c r="F4" s="90"/>
      <c r="G4" s="90"/>
      <c r="H4" s="90"/>
      <c r="I4" s="90"/>
      <c r="J4" s="90"/>
    </row>
    <row r="6" spans="1:14" x14ac:dyDescent="0.2">
      <c r="A6" s="3" t="s">
        <v>33</v>
      </c>
    </row>
    <row r="7" spans="1:14" x14ac:dyDescent="0.2">
      <c r="A7" s="3" t="s">
        <v>34</v>
      </c>
    </row>
    <row r="8" spans="1:14" x14ac:dyDescent="0.2">
      <c r="A8" s="3" t="s">
        <v>35</v>
      </c>
    </row>
    <row r="10" spans="1:14" x14ac:dyDescent="0.2">
      <c r="A10" s="3" t="s">
        <v>36</v>
      </c>
    </row>
    <row r="11" spans="1:14" x14ac:dyDescent="0.2">
      <c r="A11" s="3" t="s">
        <v>37</v>
      </c>
    </row>
    <row r="12" spans="1:14" x14ac:dyDescent="0.2">
      <c r="A12" s="3" t="s">
        <v>38</v>
      </c>
      <c r="F12" s="3" t="s">
        <v>25</v>
      </c>
      <c r="G12" s="3" t="str">
        <f>'ISIAN DATA'!G8</f>
        <v>SAEFULOH</v>
      </c>
    </row>
    <row r="13" spans="1:14" x14ac:dyDescent="0.2">
      <c r="A13" s="3" t="s">
        <v>39</v>
      </c>
      <c r="F13" s="3" t="s">
        <v>25</v>
      </c>
      <c r="G13" s="3" t="str">
        <f>'ISIAN DATA'!G34</f>
        <v>SUSILAH</v>
      </c>
    </row>
    <row r="14" spans="1:14" x14ac:dyDescent="0.2">
      <c r="A14" s="3" t="s">
        <v>40</v>
      </c>
      <c r="F14" s="3" t="s">
        <v>25</v>
      </c>
      <c r="G14" s="92" t="str">
        <f>'N2 PEREMPUAN'!G14:H14</f>
        <v>Rabu</v>
      </c>
      <c r="H14" s="92"/>
      <c r="I14" s="32" t="str">
        <f>'N2 PEREMPUAN'!I14:J14</f>
        <v>2026-09-23</v>
      </c>
    </row>
    <row r="15" spans="1:14" x14ac:dyDescent="0.2">
      <c r="A15" s="3" t="s">
        <v>41</v>
      </c>
      <c r="F15" s="3" t="s">
        <v>25</v>
      </c>
      <c r="G15" s="91" t="str">
        <f>'ISIAN DATA'!G41</f>
        <v>RT 002 RW 004 DESA TAMBI KECAMATAN WATUKUMPUL KABUPATEN PEMALANG</v>
      </c>
      <c r="H15" s="91"/>
      <c r="I15" s="91"/>
      <c r="J15" s="91"/>
      <c r="K15" s="91"/>
      <c r="L15" s="91"/>
      <c r="M15" s="91"/>
    </row>
    <row r="16" spans="1:14" x14ac:dyDescent="0.2">
      <c r="G16" s="91"/>
      <c r="H16" s="91"/>
      <c r="I16" s="91"/>
      <c r="J16" s="91"/>
      <c r="K16" s="91"/>
      <c r="L16" s="91"/>
      <c r="M16" s="91"/>
    </row>
    <row r="17" spans="1:5" x14ac:dyDescent="0.2">
      <c r="A17" s="3" t="s">
        <v>42</v>
      </c>
    </row>
    <row r="18" spans="1:5" ht="15" x14ac:dyDescent="0.25">
      <c r="A18" s="5" t="s">
        <v>50</v>
      </c>
      <c r="B18" s="5"/>
    </row>
    <row r="19" spans="1:5" x14ac:dyDescent="0.2">
      <c r="A19" s="8">
        <v>1</v>
      </c>
      <c r="C19" s="3" t="s">
        <v>43</v>
      </c>
    </row>
    <row r="20" spans="1:5" x14ac:dyDescent="0.2">
      <c r="A20" s="8">
        <v>2</v>
      </c>
      <c r="C20" s="6" t="s">
        <v>44</v>
      </c>
      <c r="D20" s="6"/>
      <c r="E20" s="6"/>
    </row>
    <row r="21" spans="1:5" x14ac:dyDescent="0.2">
      <c r="A21" s="8">
        <v>3</v>
      </c>
      <c r="C21" s="3" t="s">
        <v>45</v>
      </c>
    </row>
    <row r="22" spans="1:5" x14ac:dyDescent="0.2">
      <c r="A22" s="8">
        <v>4</v>
      </c>
      <c r="C22" s="3" t="s">
        <v>46</v>
      </c>
    </row>
    <row r="23" spans="1:5" x14ac:dyDescent="0.2">
      <c r="A23" s="8">
        <v>5</v>
      </c>
      <c r="C23" s="3" t="s">
        <v>47</v>
      </c>
    </row>
    <row r="24" spans="1:5" x14ac:dyDescent="0.2">
      <c r="A24" s="8">
        <v>6</v>
      </c>
      <c r="C24" s="3" t="s">
        <v>48</v>
      </c>
    </row>
    <row r="25" spans="1:5" x14ac:dyDescent="0.2">
      <c r="A25" s="8">
        <v>7</v>
      </c>
      <c r="C25" s="3" t="s">
        <v>49</v>
      </c>
    </row>
    <row r="27" spans="1:5" ht="15" x14ac:dyDescent="0.25">
      <c r="A27" s="5" t="s">
        <v>51</v>
      </c>
      <c r="B27" s="5"/>
    </row>
    <row r="28" spans="1:5" x14ac:dyDescent="0.2">
      <c r="A28" s="8">
        <v>1</v>
      </c>
      <c r="C28" s="3" t="s">
        <v>52</v>
      </c>
    </row>
    <row r="29" spans="1:5" x14ac:dyDescent="0.2">
      <c r="A29" s="8">
        <v>2</v>
      </c>
      <c r="C29" s="3" t="s">
        <v>53</v>
      </c>
    </row>
    <row r="30" spans="1:5" x14ac:dyDescent="0.2">
      <c r="A30" s="8">
        <v>3</v>
      </c>
      <c r="C30" s="3" t="s">
        <v>56</v>
      </c>
    </row>
    <row r="31" spans="1:5" x14ac:dyDescent="0.2">
      <c r="A31" s="8">
        <v>4</v>
      </c>
      <c r="C31" s="3" t="s">
        <v>55</v>
      </c>
    </row>
    <row r="32" spans="1:5" x14ac:dyDescent="0.2">
      <c r="A32" s="8">
        <v>5</v>
      </c>
      <c r="C32" s="3" t="s">
        <v>54</v>
      </c>
    </row>
    <row r="34" spans="1:11" x14ac:dyDescent="0.2">
      <c r="A34" s="3" t="s">
        <v>57</v>
      </c>
    </row>
    <row r="35" spans="1:11" x14ac:dyDescent="0.2">
      <c r="A35" s="3" t="s">
        <v>58</v>
      </c>
    </row>
    <row r="37" spans="1:11" x14ac:dyDescent="0.2">
      <c r="A37" s="3" t="s">
        <v>62</v>
      </c>
    </row>
    <row r="39" spans="1:11" x14ac:dyDescent="0.2">
      <c r="A39" s="3" t="s">
        <v>59</v>
      </c>
    </row>
    <row r="40" spans="1:11" x14ac:dyDescent="0.2">
      <c r="A40" s="3" t="s">
        <v>60</v>
      </c>
    </row>
    <row r="41" spans="1:11" x14ac:dyDescent="0.2">
      <c r="A41" s="3" t="s">
        <v>61</v>
      </c>
      <c r="K41" s="3" t="s">
        <v>63</v>
      </c>
    </row>
    <row r="45" spans="1:11" x14ac:dyDescent="0.2">
      <c r="A45" s="3" t="s">
        <v>64</v>
      </c>
      <c r="K45" s="3" t="str">
        <f>'N1 LAKI-LAKI'!G12</f>
        <v>SAEFULOH</v>
      </c>
    </row>
    <row r="49" spans="11:11" x14ac:dyDescent="0.2">
      <c r="K49" s="3" t="s">
        <v>65</v>
      </c>
    </row>
    <row r="53" spans="11:11" x14ac:dyDescent="0.2">
      <c r="K53" s="3" t="s">
        <v>263</v>
      </c>
    </row>
  </sheetData>
  <mergeCells count="5">
    <mergeCell ref="D4:J4"/>
    <mergeCell ref="A1:M1"/>
    <mergeCell ref="A2:M2"/>
    <mergeCell ref="G15:M16"/>
    <mergeCell ref="G14:H14"/>
  </mergeCells>
  <pageMargins left="0.70866141732283472" right="0.70866141732283472" top="0.74803149606299213" bottom="0.74803149606299213" header="0.31496062992125984" footer="0.31496062992125984"/>
  <pageSetup paperSize="169" orientation="portrait" horizontalDpi="4294967293" verticalDpi="429496729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view="pageLayout" zoomScaleNormal="100" workbookViewId="0">
      <selection activeCell="J14" sqref="J14"/>
    </sheetView>
  </sheetViews>
  <sheetFormatPr defaultRowHeight="14.25" x14ac:dyDescent="0.2"/>
  <cols>
    <col min="1" max="1" width="4" style="3" customWidth="1"/>
    <col min="2" max="3" width="3.7109375" style="3" customWidth="1"/>
    <col min="4" max="6" width="9.140625" style="3"/>
    <col min="7" max="7" width="3.42578125" style="3" customWidth="1"/>
    <col min="8" max="8" width="9.42578125" style="3" bestFit="1" customWidth="1"/>
    <col min="9" max="16384" width="9.140625" style="3"/>
  </cols>
  <sheetData>
    <row r="1" spans="1:13" ht="18" x14ac:dyDescent="0.25">
      <c r="A1" s="93" t="s">
        <v>67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69" t="str">
        <f>HYPERLINK("#'Isian Data'!A1", "⬅️ Kembali ke Isisan Data")</f>
        <v>⬅️ Kembali ke Isisan Data</v>
      </c>
    </row>
    <row r="2" spans="1:13" x14ac:dyDescent="0.2">
      <c r="A2" s="93" t="s">
        <v>30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</row>
    <row r="3" spans="1:13" ht="15" x14ac:dyDescent="0.25">
      <c r="A3" s="94" t="s">
        <v>68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</row>
    <row r="5" spans="1:13" ht="15.75" x14ac:dyDescent="0.2">
      <c r="A5" s="95" t="s">
        <v>69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7" spans="1:13" x14ac:dyDescent="0.2">
      <c r="A7" s="3" t="s">
        <v>70</v>
      </c>
    </row>
    <row r="8" spans="1:13" ht="15" x14ac:dyDescent="0.25">
      <c r="A8" s="5" t="s">
        <v>71</v>
      </c>
      <c r="B8" s="5" t="s">
        <v>72</v>
      </c>
    </row>
    <row r="9" spans="1:13" x14ac:dyDescent="0.2">
      <c r="B9" s="3">
        <v>1</v>
      </c>
      <c r="D9" s="3" t="s">
        <v>21</v>
      </c>
      <c r="G9" s="3" t="s">
        <v>25</v>
      </c>
      <c r="H9" s="3" t="str">
        <f>'ISIAN DATA'!G8</f>
        <v>SAEFULOH</v>
      </c>
    </row>
    <row r="10" spans="1:13" x14ac:dyDescent="0.2">
      <c r="B10" s="3">
        <v>2</v>
      </c>
      <c r="D10" s="3" t="s">
        <v>73</v>
      </c>
      <c r="G10" s="3" t="s">
        <v>25</v>
      </c>
      <c r="H10" s="3" t="str">
        <f>'ISIAN DATA'!G9</f>
        <v>KUNENI</v>
      </c>
    </row>
    <row r="11" spans="1:13" x14ac:dyDescent="0.2">
      <c r="B11" s="3">
        <v>3</v>
      </c>
      <c r="D11" s="3" t="s">
        <v>74</v>
      </c>
      <c r="G11" s="3" t="s">
        <v>25</v>
      </c>
      <c r="H11" s="31" t="str">
        <f>'ISIAN DATA'!G11</f>
        <v>3303170704000001</v>
      </c>
    </row>
    <row r="12" spans="1:13" x14ac:dyDescent="0.2">
      <c r="B12" s="3">
        <v>4</v>
      </c>
      <c r="D12" s="3" t="s">
        <v>9</v>
      </c>
      <c r="G12" s="3" t="s">
        <v>25</v>
      </c>
      <c r="H12" s="3" t="str">
        <f>'ISIAN DATA'!G10</f>
        <v>PURBALINGGA , 07 APRIL 2000</v>
      </c>
    </row>
    <row r="13" spans="1:13" x14ac:dyDescent="0.2">
      <c r="B13" s="3">
        <v>5</v>
      </c>
      <c r="D13" s="3" t="s">
        <v>10</v>
      </c>
      <c r="G13" s="3" t="s">
        <v>25</v>
      </c>
      <c r="H13" s="3" t="str">
        <f>'N1 LAKI-LAKI'!G30</f>
        <v>INDONESIA</v>
      </c>
    </row>
    <row r="14" spans="1:13" x14ac:dyDescent="0.2">
      <c r="B14" s="3">
        <v>6</v>
      </c>
      <c r="D14" s="3" t="s">
        <v>75</v>
      </c>
      <c r="G14" s="3" t="s">
        <v>25</v>
      </c>
      <c r="H14" s="3" t="str">
        <f>'N1 LAKI-LAKI'!G31</f>
        <v>ISLAM</v>
      </c>
    </row>
    <row r="15" spans="1:13" x14ac:dyDescent="0.2">
      <c r="B15" s="3">
        <v>7</v>
      </c>
      <c r="D15" s="3" t="s">
        <v>12</v>
      </c>
      <c r="G15" s="3" t="s">
        <v>25</v>
      </c>
      <c r="H15" s="3" t="str">
        <f>'ISIAN DATA'!G12</f>
        <v>KARYAWAN SWASTA</v>
      </c>
    </row>
    <row r="16" spans="1:13" x14ac:dyDescent="0.2">
      <c r="B16" s="3">
        <v>8</v>
      </c>
      <c r="D16" s="3" t="s">
        <v>13</v>
      </c>
      <c r="G16" s="3" t="s">
        <v>25</v>
      </c>
      <c r="H16" s="83" t="str">
        <f>'ISIAN DATA'!G16</f>
        <v>RT 004 RW 001 DESA JINGKANG KECAMATAN KARANGJAMBU KABUPATEN PURBALINGGA</v>
      </c>
      <c r="I16" s="83"/>
      <c r="J16" s="83"/>
      <c r="K16" s="83"/>
      <c r="L16" s="83"/>
    </row>
    <row r="17" spans="1:12" x14ac:dyDescent="0.2">
      <c r="H17" s="83"/>
      <c r="I17" s="83"/>
      <c r="J17" s="83"/>
      <c r="K17" s="83"/>
      <c r="L17" s="83"/>
    </row>
    <row r="19" spans="1:12" ht="15" x14ac:dyDescent="0.25">
      <c r="A19" s="5" t="s">
        <v>76</v>
      </c>
      <c r="B19" s="5" t="s">
        <v>77</v>
      </c>
    </row>
    <row r="20" spans="1:12" x14ac:dyDescent="0.2">
      <c r="B20" s="3">
        <v>1</v>
      </c>
      <c r="D20" s="3" t="s">
        <v>21</v>
      </c>
      <c r="G20" s="3" t="s">
        <v>25</v>
      </c>
      <c r="H20" s="3" t="str">
        <f>'ISIAN DATA'!G34</f>
        <v>SUSILAH</v>
      </c>
    </row>
    <row r="21" spans="1:12" x14ac:dyDescent="0.2">
      <c r="B21" s="3">
        <v>2</v>
      </c>
      <c r="D21" s="3" t="s">
        <v>78</v>
      </c>
      <c r="G21" s="3" t="s">
        <v>25</v>
      </c>
      <c r="H21" s="3" t="str">
        <f>'ISIAN DATA'!G35</f>
        <v>RUSMAN</v>
      </c>
    </row>
    <row r="22" spans="1:12" x14ac:dyDescent="0.2">
      <c r="B22" s="3">
        <v>3</v>
      </c>
      <c r="D22" s="3" t="s">
        <v>74</v>
      </c>
      <c r="G22" s="3" t="s">
        <v>25</v>
      </c>
      <c r="H22" s="31" t="str">
        <f>'ISIAN DATA'!G37</f>
        <v>3327045109990007</v>
      </c>
    </row>
    <row r="23" spans="1:12" ht="13.5" customHeight="1" x14ac:dyDescent="0.2">
      <c r="B23" s="3">
        <v>4</v>
      </c>
      <c r="D23" s="3" t="s">
        <v>9</v>
      </c>
      <c r="G23" s="3" t="s">
        <v>25</v>
      </c>
      <c r="H23" s="83" t="str">
        <f>'ISIAN DATA'!G36</f>
        <v>PEMALANG, 11 SEPTEMBER 1999</v>
      </c>
      <c r="I23" s="83"/>
      <c r="J23" s="83"/>
      <c r="K23" s="83"/>
      <c r="L23" s="83"/>
    </row>
    <row r="24" spans="1:12" x14ac:dyDescent="0.2">
      <c r="B24" s="3">
        <v>5</v>
      </c>
      <c r="D24" s="3" t="s">
        <v>10</v>
      </c>
      <c r="G24" s="3" t="s">
        <v>25</v>
      </c>
      <c r="H24" s="3" t="str">
        <f>'N1 LAKI-LAKI'!G39</f>
        <v>INDONESIA</v>
      </c>
    </row>
    <row r="25" spans="1:12" x14ac:dyDescent="0.2">
      <c r="B25" s="3">
        <v>6</v>
      </c>
      <c r="D25" s="3" t="s">
        <v>75</v>
      </c>
      <c r="G25" s="3" t="s">
        <v>25</v>
      </c>
      <c r="H25" s="3" t="str">
        <f>'N1 LAKI-LAKI'!G40</f>
        <v>ISLAM</v>
      </c>
    </row>
    <row r="26" spans="1:12" x14ac:dyDescent="0.2">
      <c r="B26" s="3">
        <v>7</v>
      </c>
      <c r="D26" s="3" t="s">
        <v>12</v>
      </c>
      <c r="G26" s="3" t="s">
        <v>25</v>
      </c>
      <c r="H26" s="3" t="str">
        <f>'ISIAN DATA'!G38</f>
        <v>BELUM/ TIDAK BEKERJA</v>
      </c>
    </row>
    <row r="27" spans="1:12" x14ac:dyDescent="0.2">
      <c r="B27" s="3">
        <v>8</v>
      </c>
      <c r="D27" s="3" t="s">
        <v>13</v>
      </c>
      <c r="G27" s="3" t="s">
        <v>25</v>
      </c>
      <c r="H27" s="83" t="str">
        <f>'ISIAN DATA'!G41</f>
        <v>RT 002 RW 004 DESA TAMBI KECAMATAN WATUKUMPUL KABUPATEN PEMALANG</v>
      </c>
      <c r="I27" s="83"/>
      <c r="J27" s="83"/>
      <c r="K27" s="83"/>
      <c r="L27" s="83"/>
    </row>
    <row r="28" spans="1:12" x14ac:dyDescent="0.2">
      <c r="H28" s="83"/>
      <c r="I28" s="83"/>
      <c r="J28" s="83"/>
      <c r="K28" s="83"/>
      <c r="L28" s="83"/>
    </row>
    <row r="30" spans="1:12" x14ac:dyDescent="0.2">
      <c r="A30" s="3" t="s">
        <v>79</v>
      </c>
    </row>
    <row r="31" spans="1:12" x14ac:dyDescent="0.2">
      <c r="A31" s="3" t="s">
        <v>80</v>
      </c>
    </row>
    <row r="33" spans="1:10" x14ac:dyDescent="0.2">
      <c r="A33" s="3" t="s">
        <v>81</v>
      </c>
    </row>
    <row r="36" spans="1:10" x14ac:dyDescent="0.2">
      <c r="I36" s="3" t="str">
        <f>'N1 LAKI-LAKI'!G47</f>
        <v>TAMBI</v>
      </c>
      <c r="J36" s="3" t="str">
        <f>'N1 LAKI-LAKI'!I47</f>
        <v>, TAMBI, 29 JULI 2026</v>
      </c>
    </row>
    <row r="38" spans="1:10" x14ac:dyDescent="0.2">
      <c r="A38" s="3" t="s">
        <v>82</v>
      </c>
      <c r="I38" s="3" t="s">
        <v>83</v>
      </c>
    </row>
    <row r="41" spans="1:10" x14ac:dyDescent="0.2">
      <c r="A41" s="3" t="str">
        <f>H9</f>
        <v>SAEFULOH</v>
      </c>
      <c r="I41" s="3" t="str">
        <f>H20</f>
        <v>SUSILAH</v>
      </c>
    </row>
  </sheetData>
  <mergeCells count="7">
    <mergeCell ref="H23:L23"/>
    <mergeCell ref="H27:L28"/>
    <mergeCell ref="A1:L1"/>
    <mergeCell ref="A2:L2"/>
    <mergeCell ref="A3:L3"/>
    <mergeCell ref="A5:L5"/>
    <mergeCell ref="H16:L17"/>
  </mergeCells>
  <pageMargins left="0.7" right="0.7" top="0.75" bottom="0.75" header="0.3" footer="0.3"/>
  <pageSetup paperSize="16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view="pageLayout" topLeftCell="A19" zoomScaleNormal="100" workbookViewId="0">
      <selection activeCell="H9" sqref="H9"/>
    </sheetView>
  </sheetViews>
  <sheetFormatPr defaultRowHeight="14.25" x14ac:dyDescent="0.2"/>
  <cols>
    <col min="1" max="1" width="4" style="3" customWidth="1"/>
    <col min="2" max="3" width="3.7109375" style="3" customWidth="1"/>
    <col min="4" max="6" width="9.140625" style="3"/>
    <col min="7" max="7" width="3.42578125" style="3" customWidth="1"/>
    <col min="8" max="8" width="9.42578125" style="3" bestFit="1" customWidth="1"/>
    <col min="9" max="16384" width="9.140625" style="3"/>
  </cols>
  <sheetData>
    <row r="1" spans="1:13" ht="20.25" x14ac:dyDescent="0.3">
      <c r="A1" s="93" t="s">
        <v>67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75" t="str">
        <f>HYPERLINK("#'Isian Data'!A1", "⬅️ Kembali ke Isisan Data")</f>
        <v>⬅️ Kembali ke Isisan Data</v>
      </c>
    </row>
    <row r="2" spans="1:13" x14ac:dyDescent="0.2">
      <c r="A2" s="93" t="s">
        <v>30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</row>
    <row r="3" spans="1:13" ht="15" x14ac:dyDescent="0.25">
      <c r="A3" s="94" t="s">
        <v>68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</row>
    <row r="5" spans="1:13" ht="15.75" x14ac:dyDescent="0.2">
      <c r="A5" s="95" t="s">
        <v>69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</row>
    <row r="7" spans="1:13" x14ac:dyDescent="0.2">
      <c r="A7" s="3" t="s">
        <v>70</v>
      </c>
    </row>
    <row r="8" spans="1:13" ht="15" x14ac:dyDescent="0.25">
      <c r="A8" s="5" t="s">
        <v>71</v>
      </c>
      <c r="B8" s="5" t="s">
        <v>72</v>
      </c>
    </row>
    <row r="9" spans="1:13" x14ac:dyDescent="0.2">
      <c r="B9" s="3">
        <v>1</v>
      </c>
      <c r="D9" s="3" t="s">
        <v>21</v>
      </c>
      <c r="G9" s="3" t="s">
        <v>25</v>
      </c>
      <c r="H9" s="3" t="str">
        <f>'ISIAN DATA'!G8</f>
        <v>SAEFULOH</v>
      </c>
    </row>
    <row r="10" spans="1:13" x14ac:dyDescent="0.2">
      <c r="B10" s="3">
        <v>2</v>
      </c>
      <c r="D10" s="3" t="s">
        <v>73</v>
      </c>
      <c r="G10" s="3" t="s">
        <v>25</v>
      </c>
      <c r="H10" s="3" t="str">
        <f>'ISIAN DATA'!G9</f>
        <v>KUNENI</v>
      </c>
    </row>
    <row r="11" spans="1:13" x14ac:dyDescent="0.2">
      <c r="B11" s="3">
        <v>3</v>
      </c>
      <c r="D11" s="3" t="s">
        <v>74</v>
      </c>
      <c r="G11" s="3" t="s">
        <v>25</v>
      </c>
      <c r="H11" s="31" t="str">
        <f>'ISIAN DATA'!G11</f>
        <v>3303170704000001</v>
      </c>
    </row>
    <row r="12" spans="1:13" x14ac:dyDescent="0.2">
      <c r="B12" s="3">
        <v>4</v>
      </c>
      <c r="D12" s="3" t="s">
        <v>9</v>
      </c>
      <c r="G12" s="3" t="s">
        <v>25</v>
      </c>
      <c r="H12" s="3" t="str">
        <f>'ISIAN DATA'!G10</f>
        <v>PURBALINGGA , 07 APRIL 2000</v>
      </c>
    </row>
    <row r="13" spans="1:13" x14ac:dyDescent="0.2">
      <c r="B13" s="3">
        <v>5</v>
      </c>
      <c r="D13" s="3" t="s">
        <v>10</v>
      </c>
      <c r="G13" s="3" t="s">
        <v>25</v>
      </c>
      <c r="H13" s="3" t="str">
        <f>'N1 LAKI-LAKI'!G30</f>
        <v>INDONESIA</v>
      </c>
    </row>
    <row r="14" spans="1:13" x14ac:dyDescent="0.2">
      <c r="B14" s="3">
        <v>6</v>
      </c>
      <c r="D14" s="3" t="s">
        <v>75</v>
      </c>
      <c r="G14" s="3" t="s">
        <v>25</v>
      </c>
      <c r="H14" s="3" t="str">
        <f>'N1 LAKI-LAKI'!G31</f>
        <v>ISLAM</v>
      </c>
    </row>
    <row r="15" spans="1:13" x14ac:dyDescent="0.2">
      <c r="B15" s="3">
        <v>7</v>
      </c>
      <c r="D15" s="3" t="s">
        <v>12</v>
      </c>
      <c r="G15" s="3" t="s">
        <v>25</v>
      </c>
      <c r="H15" s="3" t="str">
        <f>'ISIAN DATA'!G12</f>
        <v>KARYAWAN SWASTA</v>
      </c>
    </row>
    <row r="16" spans="1:13" x14ac:dyDescent="0.2">
      <c r="B16" s="3">
        <v>8</v>
      </c>
      <c r="D16" s="3" t="s">
        <v>13</v>
      </c>
      <c r="G16" s="3" t="s">
        <v>25</v>
      </c>
      <c r="H16" s="83" t="str">
        <f>'ISIAN DATA'!G16</f>
        <v>RT 004 RW 001 DESA JINGKANG KECAMATAN KARANGJAMBU KABUPATEN PURBALINGGA</v>
      </c>
      <c r="I16" s="83"/>
      <c r="J16" s="83"/>
      <c r="K16" s="83"/>
      <c r="L16" s="83"/>
    </row>
    <row r="17" spans="1:12" x14ac:dyDescent="0.2">
      <c r="H17" s="83"/>
      <c r="I17" s="83"/>
      <c r="J17" s="83"/>
      <c r="K17" s="83"/>
      <c r="L17" s="83"/>
    </row>
    <row r="19" spans="1:12" ht="15" x14ac:dyDescent="0.25">
      <c r="A19" s="5" t="s">
        <v>76</v>
      </c>
      <c r="B19" s="5" t="s">
        <v>77</v>
      </c>
    </row>
    <row r="20" spans="1:12" x14ac:dyDescent="0.2">
      <c r="B20" s="3">
        <v>1</v>
      </c>
      <c r="D20" s="3" t="s">
        <v>21</v>
      </c>
      <c r="G20" s="3" t="s">
        <v>25</v>
      </c>
      <c r="H20" s="3" t="str">
        <f>'ISIAN DATA'!G34</f>
        <v>SUSILAH</v>
      </c>
    </row>
    <row r="21" spans="1:12" x14ac:dyDescent="0.2">
      <c r="B21" s="3">
        <v>2</v>
      </c>
      <c r="D21" s="3" t="s">
        <v>78</v>
      </c>
      <c r="G21" s="3" t="s">
        <v>25</v>
      </c>
      <c r="H21" s="3" t="str">
        <f>'ISIAN DATA'!G35</f>
        <v>RUSMAN</v>
      </c>
    </row>
    <row r="22" spans="1:12" x14ac:dyDescent="0.2">
      <c r="B22" s="3">
        <v>3</v>
      </c>
      <c r="D22" s="3" t="s">
        <v>74</v>
      </c>
      <c r="G22" s="3" t="s">
        <v>25</v>
      </c>
      <c r="H22" s="31" t="str">
        <f>'ISIAN DATA'!G37</f>
        <v>3327045109990007</v>
      </c>
    </row>
    <row r="23" spans="1:12" ht="13.5" customHeight="1" x14ac:dyDescent="0.2">
      <c r="B23" s="3">
        <v>4</v>
      </c>
      <c r="D23" s="3" t="s">
        <v>9</v>
      </c>
      <c r="G23" s="3" t="s">
        <v>25</v>
      </c>
      <c r="H23" s="83" t="str">
        <f>'ISIAN DATA'!G36</f>
        <v>PEMALANG, 11 SEPTEMBER 1999</v>
      </c>
      <c r="I23" s="83"/>
      <c r="J23" s="83"/>
      <c r="K23" s="83"/>
      <c r="L23" s="83"/>
    </row>
    <row r="24" spans="1:12" x14ac:dyDescent="0.2">
      <c r="B24" s="3">
        <v>5</v>
      </c>
      <c r="D24" s="3" t="s">
        <v>10</v>
      </c>
      <c r="G24" s="3" t="s">
        <v>25</v>
      </c>
      <c r="H24" s="3" t="str">
        <f>'N1 LAKI-LAKI'!G39</f>
        <v>INDONESIA</v>
      </c>
    </row>
    <row r="25" spans="1:12" x14ac:dyDescent="0.2">
      <c r="B25" s="3">
        <v>6</v>
      </c>
      <c r="D25" s="3" t="s">
        <v>75</v>
      </c>
      <c r="G25" s="3" t="s">
        <v>25</v>
      </c>
      <c r="H25" s="3" t="str">
        <f>'N1 LAKI-LAKI'!G40</f>
        <v>ISLAM</v>
      </c>
    </row>
    <row r="26" spans="1:12" x14ac:dyDescent="0.2">
      <c r="B26" s="3">
        <v>7</v>
      </c>
      <c r="D26" s="3" t="s">
        <v>12</v>
      </c>
      <c r="G26" s="3" t="s">
        <v>25</v>
      </c>
      <c r="H26" s="3" t="str">
        <f>'ISIAN DATA'!G38</f>
        <v>BELUM/ TIDAK BEKERJA</v>
      </c>
    </row>
    <row r="27" spans="1:12" x14ac:dyDescent="0.2">
      <c r="B27" s="3">
        <v>8</v>
      </c>
      <c r="D27" s="3" t="s">
        <v>13</v>
      </c>
      <c r="G27" s="3" t="s">
        <v>25</v>
      </c>
      <c r="H27" s="83" t="str">
        <f>'ISIAN DATA'!G41</f>
        <v>RT 002 RW 004 DESA TAMBI KECAMATAN WATUKUMPUL KABUPATEN PEMALANG</v>
      </c>
      <c r="I27" s="83"/>
      <c r="J27" s="83"/>
      <c r="K27" s="83"/>
      <c r="L27" s="83"/>
    </row>
    <row r="28" spans="1:12" x14ac:dyDescent="0.2">
      <c r="H28" s="83"/>
      <c r="I28" s="83"/>
      <c r="J28" s="83"/>
      <c r="K28" s="83"/>
      <c r="L28" s="83"/>
    </row>
    <row r="30" spans="1:12" x14ac:dyDescent="0.2">
      <c r="A30" s="3" t="s">
        <v>79</v>
      </c>
    </row>
    <row r="31" spans="1:12" x14ac:dyDescent="0.2">
      <c r="A31" s="3" t="s">
        <v>80</v>
      </c>
    </row>
    <row r="33" spans="1:10" x14ac:dyDescent="0.2">
      <c r="A33" s="3" t="s">
        <v>81</v>
      </c>
    </row>
    <row r="36" spans="1:10" x14ac:dyDescent="0.2">
      <c r="I36" s="3" t="str">
        <f>'N1 LAKI-LAKI'!G47</f>
        <v>TAMBI</v>
      </c>
      <c r="J36" s="3" t="str">
        <f>'N1 LAKI-LAKI'!I47</f>
        <v>, TAMBI, 29 JULI 2026</v>
      </c>
    </row>
    <row r="38" spans="1:10" x14ac:dyDescent="0.2">
      <c r="A38" s="3" t="s">
        <v>82</v>
      </c>
      <c r="I38" s="3" t="s">
        <v>83</v>
      </c>
    </row>
    <row r="41" spans="1:10" x14ac:dyDescent="0.2">
      <c r="A41" s="3" t="str">
        <f>H9</f>
        <v>SAEFULOH</v>
      </c>
      <c r="I41" s="3" t="str">
        <f>H20</f>
        <v>SUSILAH</v>
      </c>
    </row>
  </sheetData>
  <mergeCells count="7">
    <mergeCell ref="H27:L28"/>
    <mergeCell ref="A1:L1"/>
    <mergeCell ref="A2:L2"/>
    <mergeCell ref="A3:L3"/>
    <mergeCell ref="A5:L5"/>
    <mergeCell ref="H16:L17"/>
    <mergeCell ref="H23:L23"/>
  </mergeCells>
  <pageMargins left="0.7" right="0.7" top="0.75" bottom="0.75" header="0.3" footer="0.3"/>
  <pageSetup paperSize="16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Views>
    <sheetView showZeros="0" view="pageLayout" topLeftCell="A46" zoomScaleNormal="100" workbookViewId="0">
      <selection activeCell="L1" sqref="L1"/>
    </sheetView>
  </sheetViews>
  <sheetFormatPr defaultRowHeight="14.25" x14ac:dyDescent="0.2"/>
  <cols>
    <col min="1" max="1" width="4.140625" style="3" customWidth="1"/>
    <col min="2" max="2" width="3.140625" style="3" customWidth="1"/>
    <col min="3" max="5" width="9.140625" style="3"/>
    <col min="6" max="6" width="3.42578125" style="3" customWidth="1"/>
    <col min="7" max="16384" width="9.140625" style="3"/>
  </cols>
  <sheetData>
    <row r="1" spans="1:12" x14ac:dyDescent="0.2">
      <c r="A1" s="93" t="s">
        <v>86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3" t="str">
        <f>HYPERLINK("#'Isian Data'!A1", "⬅️ Kembali ke Isisan Data")</f>
        <v>⬅️ Kembali ke Isisan Data</v>
      </c>
    </row>
    <row r="2" spans="1:12" x14ac:dyDescent="0.2">
      <c r="A2" s="93" t="s">
        <v>30</v>
      </c>
      <c r="B2" s="93"/>
      <c r="C2" s="93"/>
      <c r="D2" s="93"/>
      <c r="E2" s="93"/>
      <c r="F2" s="93"/>
      <c r="G2" s="93"/>
      <c r="H2" s="93"/>
      <c r="I2" s="93"/>
      <c r="J2" s="93"/>
      <c r="K2" s="93"/>
    </row>
    <row r="4" spans="1:12" ht="15" x14ac:dyDescent="0.25">
      <c r="A4" s="94" t="s">
        <v>87</v>
      </c>
      <c r="B4" s="93"/>
      <c r="C4" s="93"/>
      <c r="D4" s="93"/>
      <c r="E4" s="93"/>
      <c r="F4" s="93"/>
      <c r="G4" s="93"/>
      <c r="H4" s="93"/>
      <c r="I4" s="93"/>
      <c r="J4" s="93"/>
      <c r="K4" s="93"/>
    </row>
    <row r="5" spans="1:12" s="9" customFormat="1" ht="15" customHeight="1" x14ac:dyDescent="0.2">
      <c r="A5" s="95" t="s">
        <v>88</v>
      </c>
      <c r="B5" s="95"/>
      <c r="C5" s="95"/>
      <c r="D5" s="95"/>
      <c r="E5" s="95"/>
      <c r="F5" s="95"/>
      <c r="G5" s="95"/>
      <c r="H5" s="95"/>
      <c r="I5" s="95"/>
      <c r="J5" s="95"/>
      <c r="K5" s="95"/>
    </row>
    <row r="7" spans="1:12" x14ac:dyDescent="0.2">
      <c r="B7" s="3" t="s">
        <v>70</v>
      </c>
    </row>
    <row r="9" spans="1:12" x14ac:dyDescent="0.2">
      <c r="A9" s="3" t="s">
        <v>71</v>
      </c>
      <c r="B9" s="8">
        <v>1</v>
      </c>
      <c r="C9" s="3" t="s">
        <v>21</v>
      </c>
      <c r="F9" s="8" t="s">
        <v>25</v>
      </c>
      <c r="G9" s="3" t="str">
        <f>'ISIAN DATA'!G19</f>
        <v>KUNENI</v>
      </c>
    </row>
    <row r="10" spans="1:12" x14ac:dyDescent="0.2">
      <c r="B10" s="8">
        <v>2</v>
      </c>
      <c r="C10" s="3" t="s">
        <v>73</v>
      </c>
      <c r="F10" s="8" t="s">
        <v>25</v>
      </c>
      <c r="G10" s="3" t="str">
        <f>'ISIAN DATA'!J19</f>
        <v>SANBISRI</v>
      </c>
    </row>
    <row r="11" spans="1:12" x14ac:dyDescent="0.2">
      <c r="B11" s="8">
        <v>3</v>
      </c>
      <c r="C11" s="3" t="s">
        <v>89</v>
      </c>
      <c r="F11" s="8" t="s">
        <v>25</v>
      </c>
      <c r="G11" s="31" t="str">
        <f>'ISIAN DATA'!G20</f>
        <v>3303170406740001</v>
      </c>
    </row>
    <row r="12" spans="1:12" x14ac:dyDescent="0.2">
      <c r="B12" s="8">
        <v>4</v>
      </c>
      <c r="C12" s="3" t="s">
        <v>9</v>
      </c>
      <c r="F12" s="8" t="s">
        <v>25</v>
      </c>
      <c r="G12" s="3" t="str">
        <f>'ISIAN DATA'!G21</f>
        <v>PURBALINGGA, 04 JUNI 1974</v>
      </c>
    </row>
    <row r="13" spans="1:12" x14ac:dyDescent="0.2">
      <c r="B13" s="8">
        <v>5</v>
      </c>
      <c r="C13" s="3" t="s">
        <v>10</v>
      </c>
      <c r="F13" s="8" t="s">
        <v>25</v>
      </c>
      <c r="G13" s="3" t="str">
        <f>'N1 LAKI-LAKI'!G39</f>
        <v>INDONESIA</v>
      </c>
    </row>
    <row r="14" spans="1:12" x14ac:dyDescent="0.2">
      <c r="B14" s="8">
        <v>6</v>
      </c>
      <c r="C14" s="3" t="s">
        <v>75</v>
      </c>
      <c r="F14" s="8" t="s">
        <v>25</v>
      </c>
      <c r="G14" s="3" t="str">
        <f>'N1 LAKI-LAKI'!G40</f>
        <v>ISLAM</v>
      </c>
    </row>
    <row r="15" spans="1:12" x14ac:dyDescent="0.2">
      <c r="B15" s="8">
        <v>7</v>
      </c>
      <c r="C15" s="3" t="s">
        <v>12</v>
      </c>
      <c r="F15" s="8" t="s">
        <v>25</v>
      </c>
      <c r="G15" s="3" t="str">
        <f>'ISIAN DATA'!G22</f>
        <v>PETANI/ PEKEBUN</v>
      </c>
    </row>
    <row r="16" spans="1:12" x14ac:dyDescent="0.2">
      <c r="B16" s="8">
        <v>8</v>
      </c>
      <c r="C16" s="3" t="s">
        <v>13</v>
      </c>
      <c r="F16" s="8" t="s">
        <v>25</v>
      </c>
      <c r="G16" s="83" t="str">
        <f>'ISIAN DATA'!G23</f>
        <v>RT 004 RW 001 DESA JINGKANG KECAMATAN KARANGJAMBU KABUPATEN PURBALINGGA</v>
      </c>
      <c r="H16" s="83"/>
      <c r="I16" s="83"/>
      <c r="J16" s="83"/>
      <c r="K16" s="83"/>
    </row>
    <row r="17" spans="1:11" x14ac:dyDescent="0.2">
      <c r="G17" s="83"/>
      <c r="H17" s="83"/>
      <c r="I17" s="83"/>
      <c r="J17" s="83"/>
      <c r="K17" s="83"/>
    </row>
    <row r="20" spans="1:11" x14ac:dyDescent="0.2">
      <c r="A20" s="3" t="s">
        <v>76</v>
      </c>
      <c r="B20" s="8">
        <v>1</v>
      </c>
      <c r="C20" s="3" t="s">
        <v>21</v>
      </c>
      <c r="F20" s="8" t="s">
        <v>25</v>
      </c>
      <c r="G20" s="3" t="str">
        <f>'ISIAN DATA'!G26</f>
        <v>DARYATI</v>
      </c>
    </row>
    <row r="21" spans="1:11" x14ac:dyDescent="0.2">
      <c r="B21" s="8">
        <v>2</v>
      </c>
      <c r="C21" s="3" t="s">
        <v>78</v>
      </c>
      <c r="F21" s="8" t="s">
        <v>25</v>
      </c>
      <c r="G21" s="3" t="str">
        <f>'ISIAN DATA'!I26</f>
        <v>SUMIARTO</v>
      </c>
    </row>
    <row r="22" spans="1:11" x14ac:dyDescent="0.2">
      <c r="B22" s="8">
        <v>3</v>
      </c>
      <c r="C22" s="3" t="s">
        <v>89</v>
      </c>
      <c r="F22" s="8" t="s">
        <v>25</v>
      </c>
      <c r="G22" s="31" t="str">
        <f>'ISIAN DATA'!G27</f>
        <v>3303174705800003</v>
      </c>
    </row>
    <row r="23" spans="1:11" x14ac:dyDescent="0.2">
      <c r="B23" s="8">
        <v>4</v>
      </c>
      <c r="C23" s="3" t="s">
        <v>9</v>
      </c>
      <c r="F23" s="8" t="s">
        <v>25</v>
      </c>
      <c r="G23" s="3" t="str">
        <f>'ISIAN DATA'!G28</f>
        <v>PURBALINGGA, 07 JUNI 1980</v>
      </c>
    </row>
    <row r="24" spans="1:11" x14ac:dyDescent="0.2">
      <c r="B24" s="8">
        <v>5</v>
      </c>
      <c r="C24" s="3" t="s">
        <v>10</v>
      </c>
      <c r="F24" s="8" t="s">
        <v>25</v>
      </c>
      <c r="G24" s="3" t="str">
        <f>'N1 LAKI-LAKI'!G39</f>
        <v>INDONESIA</v>
      </c>
    </row>
    <row r="25" spans="1:11" x14ac:dyDescent="0.2">
      <c r="B25" s="8">
        <v>6</v>
      </c>
      <c r="C25" s="3" t="s">
        <v>75</v>
      </c>
      <c r="F25" s="8" t="s">
        <v>25</v>
      </c>
      <c r="G25" s="3" t="str">
        <f>'N1 LAKI-LAKI'!G40</f>
        <v>ISLAM</v>
      </c>
    </row>
    <row r="26" spans="1:11" x14ac:dyDescent="0.2">
      <c r="B26" s="8">
        <v>7</v>
      </c>
      <c r="C26" s="3" t="s">
        <v>12</v>
      </c>
      <c r="F26" s="8" t="s">
        <v>25</v>
      </c>
      <c r="G26" s="3" t="str">
        <f>'ISIAN DATA'!G29</f>
        <v>Mengurus Rumah Tangga</v>
      </c>
    </row>
    <row r="27" spans="1:11" ht="27.75" customHeight="1" x14ac:dyDescent="0.2">
      <c r="B27" s="8">
        <v>8</v>
      </c>
      <c r="C27" s="3" t="s">
        <v>13</v>
      </c>
      <c r="F27" s="8" t="s">
        <v>25</v>
      </c>
      <c r="G27" s="83" t="str">
        <f>'ISIAN DATA'!G30</f>
        <v>RT 004 RW 001 DESA JINGKANG KECAMATAN KARANGJAMBU KABUPATEN PURBALINGGA</v>
      </c>
      <c r="H27" s="83"/>
      <c r="I27" s="83"/>
      <c r="J27" s="83"/>
      <c r="K27" s="83"/>
    </row>
    <row r="28" spans="1:11" x14ac:dyDescent="0.2">
      <c r="G28" s="3" t="s">
        <v>84</v>
      </c>
    </row>
    <row r="29" spans="1:11" x14ac:dyDescent="0.2">
      <c r="B29" s="3" t="s">
        <v>90</v>
      </c>
    </row>
    <row r="30" spans="1:11" x14ac:dyDescent="0.2">
      <c r="B30" s="8">
        <v>1</v>
      </c>
      <c r="C30" s="3" t="s">
        <v>21</v>
      </c>
      <c r="F30" s="8" t="s">
        <v>25</v>
      </c>
      <c r="G30" s="3" t="str">
        <f>'ISIAN DATA'!G8</f>
        <v>SAEFULOH</v>
      </c>
    </row>
    <row r="31" spans="1:11" x14ac:dyDescent="0.2">
      <c r="B31" s="8">
        <v>2</v>
      </c>
      <c r="C31" s="3" t="s">
        <v>91</v>
      </c>
      <c r="F31" s="8" t="s">
        <v>25</v>
      </c>
      <c r="G31" s="3" t="str">
        <f>G9</f>
        <v>KUNENI</v>
      </c>
    </row>
    <row r="32" spans="1:11" x14ac:dyDescent="0.2">
      <c r="B32" s="8">
        <v>3</v>
      </c>
      <c r="C32" s="3" t="s">
        <v>89</v>
      </c>
      <c r="F32" s="8" t="s">
        <v>25</v>
      </c>
      <c r="G32" s="31" t="str">
        <f>'N4 PEREMPUAN'!H11</f>
        <v>3303170704000001</v>
      </c>
    </row>
    <row r="33" spans="2:11" x14ac:dyDescent="0.2">
      <c r="B33" s="8">
        <v>4</v>
      </c>
      <c r="C33" s="3" t="s">
        <v>9</v>
      </c>
      <c r="F33" s="8" t="s">
        <v>25</v>
      </c>
      <c r="G33" s="3" t="str">
        <f>'ISIAN DATA'!G10</f>
        <v>PURBALINGGA , 07 APRIL 2000</v>
      </c>
    </row>
    <row r="34" spans="2:11" x14ac:dyDescent="0.2">
      <c r="B34" s="8">
        <v>5</v>
      </c>
      <c r="C34" s="3" t="s">
        <v>10</v>
      </c>
      <c r="F34" s="8" t="s">
        <v>25</v>
      </c>
      <c r="G34" s="3" t="str">
        <f>'N4 PEREMPUAN'!H13</f>
        <v>INDONESIA</v>
      </c>
    </row>
    <row r="35" spans="2:11" x14ac:dyDescent="0.2">
      <c r="B35" s="8">
        <v>6</v>
      </c>
      <c r="C35" s="3" t="s">
        <v>75</v>
      </c>
      <c r="F35" s="8" t="s">
        <v>25</v>
      </c>
      <c r="G35" s="3" t="str">
        <f>'N4 PEREMPUAN'!H14</f>
        <v>ISLAM</v>
      </c>
    </row>
    <row r="36" spans="2:11" x14ac:dyDescent="0.2">
      <c r="B36" s="8">
        <v>7</v>
      </c>
      <c r="C36" s="3" t="s">
        <v>12</v>
      </c>
      <c r="F36" s="8" t="s">
        <v>25</v>
      </c>
      <c r="G36" s="3" t="str">
        <f>'ISIAN DATA'!G12</f>
        <v>KARYAWAN SWASTA</v>
      </c>
    </row>
    <row r="37" spans="2:11" x14ac:dyDescent="0.2">
      <c r="B37" s="8">
        <v>8</v>
      </c>
      <c r="C37" s="3" t="s">
        <v>13</v>
      </c>
      <c r="F37" s="8" t="s">
        <v>25</v>
      </c>
      <c r="G37" s="3" t="str">
        <f>'ISIAN DATA'!G16</f>
        <v>RT 004 RW 001 DESA JINGKANG KECAMATAN KARANGJAMBU KABUPATEN PURBALINGGA</v>
      </c>
    </row>
    <row r="38" spans="2:11" x14ac:dyDescent="0.2">
      <c r="G38" s="3" t="s">
        <v>84</v>
      </c>
    </row>
    <row r="39" spans="2:11" x14ac:dyDescent="0.2">
      <c r="B39" s="3" t="s">
        <v>92</v>
      </c>
    </row>
    <row r="40" spans="2:11" x14ac:dyDescent="0.2">
      <c r="B40" s="8">
        <v>1</v>
      </c>
      <c r="C40" s="3" t="s">
        <v>21</v>
      </c>
      <c r="F40" s="8" t="s">
        <v>25</v>
      </c>
      <c r="G40" s="3" t="str">
        <f>'ISIAN DATA'!G34</f>
        <v>SUSILAH</v>
      </c>
    </row>
    <row r="41" spans="2:11" x14ac:dyDescent="0.2">
      <c r="B41" s="8">
        <v>2</v>
      </c>
      <c r="C41" s="3" t="s">
        <v>91</v>
      </c>
      <c r="F41" s="8" t="s">
        <v>25</v>
      </c>
      <c r="G41" s="3" t="str">
        <f>'ISIAN DATA'!G45</f>
        <v>RUSMAN</v>
      </c>
    </row>
    <row r="42" spans="2:11" x14ac:dyDescent="0.2">
      <c r="B42" s="8">
        <v>3</v>
      </c>
      <c r="C42" s="3" t="s">
        <v>89</v>
      </c>
      <c r="F42" s="8" t="s">
        <v>25</v>
      </c>
      <c r="G42" s="31" t="str">
        <f>'ISIAN DATA'!G37</f>
        <v>3327045109990007</v>
      </c>
    </row>
    <row r="43" spans="2:11" x14ac:dyDescent="0.2">
      <c r="B43" s="8">
        <v>4</v>
      </c>
      <c r="C43" s="3" t="s">
        <v>9</v>
      </c>
      <c r="F43" s="8" t="s">
        <v>25</v>
      </c>
      <c r="G43" s="3" t="str">
        <f>'ISIAN DATA'!G36</f>
        <v>PEMALANG, 11 SEPTEMBER 1999</v>
      </c>
    </row>
    <row r="44" spans="2:11" x14ac:dyDescent="0.2">
      <c r="B44" s="8">
        <v>5</v>
      </c>
      <c r="C44" s="3" t="s">
        <v>10</v>
      </c>
      <c r="F44" s="8" t="s">
        <v>25</v>
      </c>
      <c r="G44" s="3" t="str">
        <f>'N4 PEREMPUAN'!H13</f>
        <v>INDONESIA</v>
      </c>
    </row>
    <row r="45" spans="2:11" x14ac:dyDescent="0.2">
      <c r="B45" s="8">
        <v>6</v>
      </c>
      <c r="C45" s="3" t="s">
        <v>75</v>
      </c>
      <c r="F45" s="8" t="s">
        <v>25</v>
      </c>
      <c r="G45" s="3" t="str">
        <f>'N4 PEREMPUAN'!H14</f>
        <v>ISLAM</v>
      </c>
    </row>
    <row r="46" spans="2:11" x14ac:dyDescent="0.2">
      <c r="B46" s="8">
        <v>7</v>
      </c>
      <c r="C46" s="3" t="s">
        <v>12</v>
      </c>
      <c r="F46" s="8" t="s">
        <v>25</v>
      </c>
      <c r="G46" s="3" t="str">
        <f>'ISIAN DATA'!G38</f>
        <v>BELUM/ TIDAK BEKERJA</v>
      </c>
    </row>
    <row r="47" spans="2:11" x14ac:dyDescent="0.2">
      <c r="B47" s="8">
        <v>8</v>
      </c>
      <c r="C47" s="3" t="s">
        <v>13</v>
      </c>
      <c r="F47" s="8" t="s">
        <v>25</v>
      </c>
      <c r="G47" s="83" t="str">
        <f>'ISIAN DATA'!G41</f>
        <v>RT 002 RW 004 DESA TAMBI KECAMATAN WATUKUMPUL KABUPATEN PEMALANG</v>
      </c>
      <c r="H47" s="83"/>
      <c r="I47" s="83"/>
      <c r="J47" s="83"/>
      <c r="K47" s="83"/>
    </row>
    <row r="48" spans="2:11" x14ac:dyDescent="0.2">
      <c r="G48" s="83"/>
      <c r="H48" s="83"/>
      <c r="I48" s="83"/>
      <c r="J48" s="83"/>
      <c r="K48" s="83"/>
    </row>
    <row r="49" spans="1:9" x14ac:dyDescent="0.2">
      <c r="A49" s="3" t="s">
        <v>93</v>
      </c>
    </row>
    <row r="50" spans="1:9" x14ac:dyDescent="0.2">
      <c r="A50" s="3" t="s">
        <v>94</v>
      </c>
    </row>
    <row r="53" spans="1:9" x14ac:dyDescent="0.2">
      <c r="B53" s="3" t="s">
        <v>95</v>
      </c>
      <c r="I53" s="3" t="s">
        <v>97</v>
      </c>
    </row>
    <row r="57" spans="1:9" x14ac:dyDescent="0.2">
      <c r="B57" s="3" t="str">
        <f>G31</f>
        <v>KUNENI</v>
      </c>
      <c r="I57" s="3" t="str">
        <f>'ISIAN DATA'!G26</f>
        <v>DARYATI</v>
      </c>
    </row>
    <row r="59" spans="1:9" x14ac:dyDescent="0.2">
      <c r="A59" s="3" t="s">
        <v>96</v>
      </c>
    </row>
  </sheetData>
  <mergeCells count="7">
    <mergeCell ref="G47:K48"/>
    <mergeCell ref="A4:K4"/>
    <mergeCell ref="A1:K1"/>
    <mergeCell ref="A2:K2"/>
    <mergeCell ref="A5:K5"/>
    <mergeCell ref="G16:K17"/>
    <mergeCell ref="G27:K27"/>
  </mergeCells>
  <pageMargins left="0.70866141732283472" right="0.70866141732283472" top="0.74803149606299213" bottom="0.74803149606299213" header="0.31496062992125984" footer="0.31496062992125984"/>
  <pageSetup paperSize="256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Views>
    <sheetView showZeros="0" view="pageLayout" topLeftCell="A43" zoomScaleNormal="100" workbookViewId="0">
      <selection activeCell="I54" sqref="I54"/>
    </sheetView>
  </sheetViews>
  <sheetFormatPr defaultRowHeight="14.25" x14ac:dyDescent="0.2"/>
  <cols>
    <col min="1" max="1" width="4.140625" style="3" customWidth="1"/>
    <col min="2" max="2" width="3.140625" style="3" customWidth="1"/>
    <col min="3" max="5" width="9.140625" style="3"/>
    <col min="6" max="6" width="3.42578125" style="3" customWidth="1"/>
    <col min="7" max="16384" width="9.140625" style="3"/>
  </cols>
  <sheetData>
    <row r="1" spans="1:12" x14ac:dyDescent="0.2">
      <c r="A1" s="93" t="s">
        <v>86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3" t="str">
        <f>HYPERLINK("#'Isian Data'!A1", "⬅️ Kembali ke Isisan Data")</f>
        <v>⬅️ Kembali ke Isisan Data</v>
      </c>
    </row>
    <row r="2" spans="1:12" x14ac:dyDescent="0.2">
      <c r="A2" s="93" t="s">
        <v>30</v>
      </c>
      <c r="B2" s="93"/>
      <c r="C2" s="93"/>
      <c r="D2" s="93"/>
      <c r="E2" s="93"/>
      <c r="F2" s="93"/>
      <c r="G2" s="93"/>
      <c r="H2" s="93"/>
      <c r="I2" s="93"/>
      <c r="J2" s="93"/>
      <c r="K2" s="93"/>
    </row>
    <row r="4" spans="1:12" ht="15" x14ac:dyDescent="0.25">
      <c r="A4" s="94" t="s">
        <v>87</v>
      </c>
      <c r="B4" s="93"/>
      <c r="C4" s="93"/>
      <c r="D4" s="93"/>
      <c r="E4" s="93"/>
      <c r="F4" s="93"/>
      <c r="G4" s="93"/>
      <c r="H4" s="93"/>
      <c r="I4" s="93"/>
      <c r="J4" s="93"/>
      <c r="K4" s="93"/>
    </row>
    <row r="5" spans="1:12" s="58" customFormat="1" ht="15" customHeight="1" x14ac:dyDescent="0.2">
      <c r="A5" s="95" t="s">
        <v>88</v>
      </c>
      <c r="B5" s="95"/>
      <c r="C5" s="95"/>
      <c r="D5" s="95"/>
      <c r="E5" s="95"/>
      <c r="F5" s="95"/>
      <c r="G5" s="95"/>
      <c r="H5" s="95"/>
      <c r="I5" s="95"/>
      <c r="J5" s="95"/>
      <c r="K5" s="95"/>
    </row>
    <row r="7" spans="1:12" x14ac:dyDescent="0.2">
      <c r="B7" s="3" t="s">
        <v>70</v>
      </c>
    </row>
    <row r="9" spans="1:12" x14ac:dyDescent="0.2">
      <c r="A9" s="3" t="s">
        <v>71</v>
      </c>
      <c r="B9" s="59">
        <v>1</v>
      </c>
      <c r="C9" s="3" t="s">
        <v>21</v>
      </c>
      <c r="F9" s="59" t="s">
        <v>25</v>
      </c>
      <c r="G9" s="3" t="str">
        <f>'ISIAN DATA'!G45</f>
        <v>RUSMAN</v>
      </c>
    </row>
    <row r="10" spans="1:12" x14ac:dyDescent="0.2">
      <c r="B10" s="59">
        <v>2</v>
      </c>
      <c r="C10" s="3" t="s">
        <v>73</v>
      </c>
      <c r="F10" s="59" t="s">
        <v>25</v>
      </c>
      <c r="G10" s="3" t="str">
        <f>'ISIAN DATA'!I45</f>
        <v>MARTA</v>
      </c>
    </row>
    <row r="11" spans="1:12" x14ac:dyDescent="0.2">
      <c r="B11" s="59">
        <v>3</v>
      </c>
      <c r="C11" s="3" t="s">
        <v>89</v>
      </c>
      <c r="F11" s="59" t="s">
        <v>25</v>
      </c>
      <c r="G11" s="31" t="str">
        <f>'ISIAN DATA'!G46</f>
        <v>3327040107740063</v>
      </c>
    </row>
    <row r="12" spans="1:12" x14ac:dyDescent="0.2">
      <c r="B12" s="59">
        <v>4</v>
      </c>
      <c r="C12" s="3" t="s">
        <v>9</v>
      </c>
      <c r="F12" s="59" t="s">
        <v>25</v>
      </c>
      <c r="G12" s="3" t="str">
        <f>'ISIAN DATA'!G47</f>
        <v>PEMALANG, 01 JULI 1974</v>
      </c>
    </row>
    <row r="13" spans="1:12" x14ac:dyDescent="0.2">
      <c r="B13" s="59">
        <v>5</v>
      </c>
      <c r="C13" s="3" t="s">
        <v>10</v>
      </c>
      <c r="F13" s="59" t="s">
        <v>25</v>
      </c>
      <c r="G13" s="3" t="str">
        <f>'N1 LAKI-LAKI'!G39</f>
        <v>INDONESIA</v>
      </c>
    </row>
    <row r="14" spans="1:12" x14ac:dyDescent="0.2">
      <c r="B14" s="59">
        <v>6</v>
      </c>
      <c r="C14" s="3" t="s">
        <v>75</v>
      </c>
      <c r="F14" s="59" t="s">
        <v>25</v>
      </c>
      <c r="G14" s="3" t="str">
        <f>'N1 LAKI-LAKI'!G40</f>
        <v>ISLAM</v>
      </c>
    </row>
    <row r="15" spans="1:12" x14ac:dyDescent="0.2">
      <c r="B15" s="59">
        <v>7</v>
      </c>
      <c r="C15" s="3" t="s">
        <v>12</v>
      </c>
      <c r="F15" s="59" t="s">
        <v>25</v>
      </c>
      <c r="G15" s="3" t="str">
        <f>'ISIAN DATA'!G48</f>
        <v>PETANI/ PEKEBUN</v>
      </c>
    </row>
    <row r="16" spans="1:12" x14ac:dyDescent="0.2">
      <c r="B16" s="59">
        <v>8</v>
      </c>
      <c r="C16" s="3" t="s">
        <v>13</v>
      </c>
      <c r="F16" s="59" t="s">
        <v>25</v>
      </c>
      <c r="G16" s="83" t="str">
        <f>'ISIAN DATA'!G49</f>
        <v>RT 002 RW 004 DESA TAMBI KECAMATAN WATUKUMPUL KABUPATEN PEMALANG</v>
      </c>
      <c r="H16" s="83"/>
      <c r="I16" s="83"/>
      <c r="J16" s="83"/>
      <c r="K16" s="83"/>
    </row>
    <row r="17" spans="1:11" x14ac:dyDescent="0.2">
      <c r="G17" s="83"/>
      <c r="H17" s="83"/>
      <c r="I17" s="83"/>
      <c r="J17" s="83"/>
      <c r="K17" s="83"/>
    </row>
    <row r="20" spans="1:11" x14ac:dyDescent="0.2">
      <c r="A20" s="3" t="s">
        <v>76</v>
      </c>
      <c r="B20" s="59">
        <v>1</v>
      </c>
      <c r="C20" s="3" t="s">
        <v>21</v>
      </c>
      <c r="F20" s="59" t="s">
        <v>25</v>
      </c>
      <c r="G20" s="3" t="str">
        <f>'ISIAN DATA'!G52</f>
        <v>KHOSINGAH</v>
      </c>
    </row>
    <row r="21" spans="1:11" x14ac:dyDescent="0.2">
      <c r="B21" s="59">
        <v>2</v>
      </c>
      <c r="C21" s="3" t="s">
        <v>78</v>
      </c>
      <c r="F21" s="59" t="s">
        <v>25</v>
      </c>
      <c r="G21" s="3" t="str">
        <f>'ISIAN DATA'!I52</f>
        <v>NASIR</v>
      </c>
    </row>
    <row r="22" spans="1:11" x14ac:dyDescent="0.2">
      <c r="B22" s="59">
        <v>3</v>
      </c>
      <c r="C22" s="3" t="s">
        <v>89</v>
      </c>
      <c r="F22" s="59" t="s">
        <v>25</v>
      </c>
      <c r="G22" s="31" t="str">
        <f>'ISIAN DATA'!G53</f>
        <v>3327044107810112</v>
      </c>
    </row>
    <row r="23" spans="1:11" x14ac:dyDescent="0.2">
      <c r="B23" s="59">
        <v>4</v>
      </c>
      <c r="C23" s="3" t="s">
        <v>9</v>
      </c>
      <c r="F23" s="59" t="s">
        <v>25</v>
      </c>
      <c r="G23" s="3" t="str">
        <f>'ISIAN DATA'!G54</f>
        <v>PEMALANG 01 JULI 1981</v>
      </c>
    </row>
    <row r="24" spans="1:11" x14ac:dyDescent="0.2">
      <c r="B24" s="59">
        <v>5</v>
      </c>
      <c r="C24" s="3" t="s">
        <v>10</v>
      </c>
      <c r="F24" s="59" t="s">
        <v>25</v>
      </c>
      <c r="G24" s="3" t="str">
        <f>'N1 LAKI-LAKI'!G39</f>
        <v>INDONESIA</v>
      </c>
    </row>
    <row r="25" spans="1:11" x14ac:dyDescent="0.2">
      <c r="B25" s="59">
        <v>6</v>
      </c>
      <c r="C25" s="3" t="s">
        <v>75</v>
      </c>
      <c r="F25" s="59" t="s">
        <v>25</v>
      </c>
      <c r="G25" s="3" t="str">
        <f>'N1 LAKI-LAKI'!G40</f>
        <v>ISLAM</v>
      </c>
    </row>
    <row r="26" spans="1:11" x14ac:dyDescent="0.2">
      <c r="B26" s="59">
        <v>7</v>
      </c>
      <c r="C26" s="3" t="s">
        <v>12</v>
      </c>
      <c r="F26" s="59" t="s">
        <v>25</v>
      </c>
      <c r="G26" s="3" t="str">
        <f>'ISIAN DATA'!G55</f>
        <v>Mengurus Rumah Tangga</v>
      </c>
    </row>
    <row r="27" spans="1:11" ht="27.75" customHeight="1" x14ac:dyDescent="0.2">
      <c r="B27" s="59">
        <v>8</v>
      </c>
      <c r="C27" s="3" t="s">
        <v>13</v>
      </c>
      <c r="F27" s="59" t="s">
        <v>25</v>
      </c>
      <c r="G27" s="83" t="str">
        <f>'ISIAN DATA'!G56</f>
        <v>RT 002 RW 004 DESA TAMBI KECAMATAN WATUKUMPUL KABUPATEN PEMALANG</v>
      </c>
      <c r="H27" s="83"/>
      <c r="I27" s="83"/>
      <c r="J27" s="83"/>
      <c r="K27" s="83"/>
    </row>
    <row r="28" spans="1:11" x14ac:dyDescent="0.2">
      <c r="G28" s="3" t="s">
        <v>84</v>
      </c>
    </row>
    <row r="29" spans="1:11" x14ac:dyDescent="0.2">
      <c r="B29" s="3" t="s">
        <v>90</v>
      </c>
    </row>
    <row r="30" spans="1:11" x14ac:dyDescent="0.2">
      <c r="B30" s="59">
        <v>1</v>
      </c>
      <c r="C30" s="3" t="s">
        <v>21</v>
      </c>
      <c r="F30" s="59" t="s">
        <v>25</v>
      </c>
      <c r="G30" s="3" t="str">
        <f>'N5 LAKI-LAKI'!G40</f>
        <v>SUSILAH</v>
      </c>
    </row>
    <row r="31" spans="1:11" x14ac:dyDescent="0.2">
      <c r="B31" s="59">
        <v>2</v>
      </c>
      <c r="C31" s="3" t="s">
        <v>91</v>
      </c>
      <c r="F31" s="59" t="s">
        <v>25</v>
      </c>
      <c r="G31" s="3" t="str">
        <f>'N5 LAKI-LAKI'!G41</f>
        <v>RUSMAN</v>
      </c>
    </row>
    <row r="32" spans="1:11" x14ac:dyDescent="0.2">
      <c r="B32" s="59">
        <v>3</v>
      </c>
      <c r="C32" s="3" t="s">
        <v>89</v>
      </c>
      <c r="F32" s="59" t="s">
        <v>25</v>
      </c>
      <c r="G32" s="3" t="str">
        <f>'N5 LAKI-LAKI'!G42</f>
        <v>3327045109990007</v>
      </c>
    </row>
    <row r="33" spans="2:11" x14ac:dyDescent="0.2">
      <c r="B33" s="59">
        <v>4</v>
      </c>
      <c r="C33" s="3" t="s">
        <v>9</v>
      </c>
      <c r="F33" s="59" t="s">
        <v>25</v>
      </c>
      <c r="G33" s="3" t="str">
        <f>'N5 LAKI-LAKI'!G43</f>
        <v>PEMALANG, 11 SEPTEMBER 1999</v>
      </c>
    </row>
    <row r="34" spans="2:11" x14ac:dyDescent="0.2">
      <c r="B34" s="59">
        <v>5</v>
      </c>
      <c r="C34" s="3" t="s">
        <v>10</v>
      </c>
      <c r="F34" s="59" t="s">
        <v>25</v>
      </c>
      <c r="G34" s="3" t="str">
        <f>'N5 LAKI-LAKI'!G44</f>
        <v>INDONESIA</v>
      </c>
    </row>
    <row r="35" spans="2:11" x14ac:dyDescent="0.2">
      <c r="B35" s="59">
        <v>6</v>
      </c>
      <c r="C35" s="3" t="s">
        <v>75</v>
      </c>
      <c r="F35" s="59" t="s">
        <v>25</v>
      </c>
      <c r="G35" s="3" t="str">
        <f>'N5 LAKI-LAKI'!G45</f>
        <v>ISLAM</v>
      </c>
    </row>
    <row r="36" spans="2:11" x14ac:dyDescent="0.2">
      <c r="B36" s="59">
        <v>7</v>
      </c>
      <c r="C36" s="3" t="s">
        <v>12</v>
      </c>
      <c r="F36" s="59" t="s">
        <v>25</v>
      </c>
      <c r="G36" s="3" t="str">
        <f>'N5 LAKI-LAKI'!G46</f>
        <v>BELUM/ TIDAK BEKERJA</v>
      </c>
    </row>
    <row r="37" spans="2:11" x14ac:dyDescent="0.2">
      <c r="B37" s="59">
        <v>8</v>
      </c>
      <c r="C37" s="3" t="s">
        <v>13</v>
      </c>
      <c r="F37" s="59" t="s">
        <v>25</v>
      </c>
      <c r="G37" s="96" t="str">
        <f>'N5 LAKI-LAKI'!G47</f>
        <v>RT 002 RW 004 DESA TAMBI KECAMATAN WATUKUMPUL KABUPATEN PEMALANG</v>
      </c>
      <c r="H37" s="96"/>
      <c r="I37" s="96"/>
      <c r="J37" s="96"/>
      <c r="K37" s="96"/>
    </row>
    <row r="38" spans="2:11" x14ac:dyDescent="0.2">
      <c r="G38" s="96"/>
      <c r="H38" s="96"/>
      <c r="I38" s="96"/>
      <c r="J38" s="96"/>
      <c r="K38" s="96"/>
    </row>
    <row r="39" spans="2:11" x14ac:dyDescent="0.2">
      <c r="B39" s="3" t="s">
        <v>92</v>
      </c>
    </row>
    <row r="40" spans="2:11" x14ac:dyDescent="0.2">
      <c r="B40" s="59">
        <v>1</v>
      </c>
      <c r="C40" s="3" t="s">
        <v>21</v>
      </c>
      <c r="F40" s="59" t="s">
        <v>25</v>
      </c>
      <c r="G40" s="3" t="str">
        <f>'N5 LAKI-LAKI'!G30</f>
        <v>SAEFULOH</v>
      </c>
    </row>
    <row r="41" spans="2:11" x14ac:dyDescent="0.2">
      <c r="B41" s="59">
        <v>2</v>
      </c>
      <c r="C41" s="3" t="s">
        <v>91</v>
      </c>
      <c r="F41" s="59" t="s">
        <v>25</v>
      </c>
      <c r="G41" s="3" t="str">
        <f>'N5 LAKI-LAKI'!G31</f>
        <v>KUNENI</v>
      </c>
    </row>
    <row r="42" spans="2:11" x14ac:dyDescent="0.2">
      <c r="B42" s="59">
        <v>3</v>
      </c>
      <c r="C42" s="3" t="s">
        <v>89</v>
      </c>
      <c r="F42" s="59" t="s">
        <v>25</v>
      </c>
      <c r="G42" s="3" t="str">
        <f>'N5 LAKI-LAKI'!G32</f>
        <v>3303170704000001</v>
      </c>
    </row>
    <row r="43" spans="2:11" x14ac:dyDescent="0.2">
      <c r="B43" s="59">
        <v>4</v>
      </c>
      <c r="C43" s="3" t="s">
        <v>9</v>
      </c>
      <c r="F43" s="59" t="s">
        <v>25</v>
      </c>
      <c r="G43" s="3" t="str">
        <f>'N5 LAKI-LAKI'!G33</f>
        <v>PURBALINGGA , 07 APRIL 2000</v>
      </c>
    </row>
    <row r="44" spans="2:11" x14ac:dyDescent="0.2">
      <c r="B44" s="59">
        <v>5</v>
      </c>
      <c r="C44" s="3" t="s">
        <v>10</v>
      </c>
      <c r="F44" s="59" t="s">
        <v>25</v>
      </c>
      <c r="G44" s="3" t="str">
        <f>'N5 LAKI-LAKI'!G34</f>
        <v>INDONESIA</v>
      </c>
    </row>
    <row r="45" spans="2:11" x14ac:dyDescent="0.2">
      <c r="B45" s="59">
        <v>6</v>
      </c>
      <c r="C45" s="3" t="s">
        <v>75</v>
      </c>
      <c r="F45" s="59" t="s">
        <v>25</v>
      </c>
      <c r="G45" s="3" t="str">
        <f>'N5 LAKI-LAKI'!G35</f>
        <v>ISLAM</v>
      </c>
    </row>
    <row r="46" spans="2:11" x14ac:dyDescent="0.2">
      <c r="B46" s="59">
        <v>7</v>
      </c>
      <c r="C46" s="3" t="s">
        <v>12</v>
      </c>
      <c r="F46" s="59" t="s">
        <v>25</v>
      </c>
      <c r="G46" s="3" t="str">
        <f>'N5 LAKI-LAKI'!G36</f>
        <v>KARYAWAN SWASTA</v>
      </c>
    </row>
    <row r="47" spans="2:11" x14ac:dyDescent="0.2">
      <c r="B47" s="59">
        <v>8</v>
      </c>
      <c r="C47" s="3" t="s">
        <v>13</v>
      </c>
      <c r="F47" s="59" t="s">
        <v>25</v>
      </c>
      <c r="G47" s="83" t="str">
        <f>'N5 LAKI-LAKI'!G37</f>
        <v>RT 004 RW 001 DESA JINGKANG KECAMATAN KARANGJAMBU KABUPATEN PURBALINGGA</v>
      </c>
      <c r="H47" s="83"/>
      <c r="I47" s="83"/>
      <c r="J47" s="83"/>
      <c r="K47" s="83"/>
    </row>
    <row r="48" spans="2:11" x14ac:dyDescent="0.2">
      <c r="G48" s="83"/>
      <c r="H48" s="83"/>
      <c r="I48" s="83"/>
      <c r="J48" s="83"/>
      <c r="K48" s="83"/>
    </row>
    <row r="49" spans="1:9" x14ac:dyDescent="0.2">
      <c r="A49" s="3" t="s">
        <v>93</v>
      </c>
    </row>
    <row r="50" spans="1:9" x14ac:dyDescent="0.2">
      <c r="A50" s="3" t="s">
        <v>94</v>
      </c>
    </row>
    <row r="53" spans="1:9" x14ac:dyDescent="0.2">
      <c r="B53" s="3" t="s">
        <v>95</v>
      </c>
      <c r="I53" s="3" t="s">
        <v>97</v>
      </c>
    </row>
    <row r="57" spans="1:9" x14ac:dyDescent="0.2">
      <c r="B57" s="3" t="str">
        <f>G31</f>
        <v>RUSMAN</v>
      </c>
      <c r="I57" s="3" t="str">
        <f>'ISIAN DATA'!G52</f>
        <v>KHOSINGAH</v>
      </c>
    </row>
    <row r="59" spans="1:9" x14ac:dyDescent="0.2">
      <c r="A59" s="3" t="s">
        <v>96</v>
      </c>
    </row>
  </sheetData>
  <mergeCells count="8">
    <mergeCell ref="G47:K48"/>
    <mergeCell ref="A1:K1"/>
    <mergeCell ref="A2:K2"/>
    <mergeCell ref="A4:K4"/>
    <mergeCell ref="A5:K5"/>
    <mergeCell ref="G16:K17"/>
    <mergeCell ref="G27:K27"/>
    <mergeCell ref="G37:K38"/>
  </mergeCells>
  <pageMargins left="0.70866141732283472" right="0.70866141732283472" top="0.74803149606299213" bottom="0.74803149606299213" header="0.31496062992125984" footer="0.31496062992125984"/>
  <pageSetup paperSize="169"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"/>
  <sheetViews>
    <sheetView workbookViewId="0">
      <selection activeCell="M2" sqref="M2"/>
    </sheetView>
  </sheetViews>
  <sheetFormatPr defaultRowHeight="15" x14ac:dyDescent="0.25"/>
  <cols>
    <col min="1" max="2" width="4.42578125" customWidth="1"/>
    <col min="6" max="6" width="3" customWidth="1"/>
  </cols>
  <sheetData>
    <row r="1" spans="1:13" s="3" customFormat="1" ht="14.25" x14ac:dyDescent="0.2"/>
    <row r="2" spans="1:13" s="3" customFormat="1" ht="14.25" x14ac:dyDescent="0.2">
      <c r="M2" s="3" t="str">
        <f>HYPERLINK("#'Isian Data'!A1", "⬅️ Kembali ke Isisan Data")</f>
        <v>⬅️ Kembali ke Isisan Data</v>
      </c>
    </row>
    <row r="3" spans="1:13" s="3" customFormat="1" ht="14.25" x14ac:dyDescent="0.2"/>
    <row r="4" spans="1:13" s="3" customFormat="1" ht="18.75" customHeight="1" x14ac:dyDescent="0.25">
      <c r="A4" s="85" t="s">
        <v>0</v>
      </c>
      <c r="B4" s="85"/>
      <c r="C4" s="85"/>
      <c r="D4" s="85"/>
      <c r="E4" s="85"/>
      <c r="F4" s="85"/>
      <c r="G4" s="85"/>
      <c r="H4" s="85"/>
      <c r="I4" s="85"/>
      <c r="J4" s="85"/>
      <c r="K4" s="85"/>
    </row>
    <row r="5" spans="1:13" s="3" customFormat="1" ht="18.75" customHeight="1" x14ac:dyDescent="0.25">
      <c r="A5" s="85" t="s">
        <v>1</v>
      </c>
      <c r="B5" s="85"/>
      <c r="C5" s="85"/>
      <c r="D5" s="85"/>
      <c r="E5" s="85"/>
      <c r="F5" s="85"/>
      <c r="G5" s="85"/>
      <c r="H5" s="85"/>
      <c r="I5" s="85"/>
      <c r="J5" s="85"/>
      <c r="K5" s="85"/>
    </row>
    <row r="6" spans="1:13" s="3" customFormat="1" ht="18.75" customHeight="1" x14ac:dyDescent="0.25">
      <c r="A6" s="85" t="s">
        <v>159</v>
      </c>
      <c r="B6" s="85"/>
      <c r="C6" s="85"/>
      <c r="D6" s="85"/>
      <c r="E6" s="85"/>
      <c r="F6" s="85"/>
      <c r="G6" s="85"/>
      <c r="H6" s="85"/>
      <c r="I6" s="85"/>
      <c r="J6" s="85"/>
      <c r="K6" s="85"/>
    </row>
    <row r="7" spans="1:13" s="3" customFormat="1" x14ac:dyDescent="0.25">
      <c r="K7" s="5" t="s">
        <v>109</v>
      </c>
    </row>
    <row r="8" spans="1:13" ht="18" x14ac:dyDescent="0.25">
      <c r="A8" s="87" t="s">
        <v>98</v>
      </c>
      <c r="B8" s="87"/>
      <c r="C8" s="87"/>
      <c r="D8" s="87"/>
      <c r="E8" s="87"/>
      <c r="F8" s="87"/>
      <c r="G8" s="87"/>
      <c r="H8" s="87"/>
      <c r="I8" s="87"/>
      <c r="J8" s="87"/>
      <c r="K8" s="87"/>
    </row>
    <row r="9" spans="1:13" ht="18" x14ac:dyDescent="0.25">
      <c r="A9" s="85" t="s">
        <v>99</v>
      </c>
      <c r="B9" s="85"/>
      <c r="C9" s="85"/>
      <c r="D9" s="85"/>
      <c r="E9" s="85"/>
      <c r="F9" s="85"/>
      <c r="G9" s="85"/>
      <c r="H9" s="85"/>
      <c r="I9" s="85"/>
      <c r="J9" s="85"/>
      <c r="K9" s="85"/>
    </row>
    <row r="11" spans="1:13" x14ac:dyDescent="0.25">
      <c r="A11" t="s">
        <v>100</v>
      </c>
    </row>
    <row r="12" spans="1:13" x14ac:dyDescent="0.25">
      <c r="A12" t="s">
        <v>71</v>
      </c>
      <c r="B12" s="1">
        <v>1</v>
      </c>
      <c r="C12" s="3" t="s">
        <v>21</v>
      </c>
      <c r="F12" t="s">
        <v>25</v>
      </c>
      <c r="G12" t="s">
        <v>85</v>
      </c>
    </row>
    <row r="13" spans="1:13" x14ac:dyDescent="0.25">
      <c r="B13" s="1">
        <v>2</v>
      </c>
      <c r="C13" s="3" t="s">
        <v>91</v>
      </c>
      <c r="F13" t="s">
        <v>25</v>
      </c>
      <c r="G13" t="s">
        <v>85</v>
      </c>
    </row>
    <row r="14" spans="1:13" x14ac:dyDescent="0.25">
      <c r="B14" s="1">
        <v>3</v>
      </c>
      <c r="C14" s="3" t="s">
        <v>89</v>
      </c>
      <c r="F14" t="s">
        <v>25</v>
      </c>
      <c r="G14" t="s">
        <v>85</v>
      </c>
    </row>
    <row r="15" spans="1:13" x14ac:dyDescent="0.25">
      <c r="B15" s="1">
        <v>4</v>
      </c>
      <c r="C15" s="3" t="s">
        <v>9</v>
      </c>
      <c r="F15" t="s">
        <v>25</v>
      </c>
      <c r="G15" t="s">
        <v>85</v>
      </c>
    </row>
    <row r="16" spans="1:13" x14ac:dyDescent="0.25">
      <c r="B16" s="1">
        <v>5</v>
      </c>
      <c r="C16" s="3" t="s">
        <v>10</v>
      </c>
      <c r="F16" t="s">
        <v>25</v>
      </c>
      <c r="G16" t="s">
        <v>85</v>
      </c>
    </row>
    <row r="17" spans="2:7" x14ac:dyDescent="0.25">
      <c r="B17" s="1">
        <v>6</v>
      </c>
      <c r="C17" s="3" t="s">
        <v>75</v>
      </c>
      <c r="F17" t="s">
        <v>25</v>
      </c>
      <c r="G17" t="s">
        <v>85</v>
      </c>
    </row>
    <row r="18" spans="2:7" x14ac:dyDescent="0.25">
      <c r="B18" s="1">
        <v>7</v>
      </c>
      <c r="C18" s="3" t="s">
        <v>12</v>
      </c>
      <c r="F18" t="s">
        <v>25</v>
      </c>
      <c r="G18" t="s">
        <v>85</v>
      </c>
    </row>
    <row r="19" spans="2:7" x14ac:dyDescent="0.25">
      <c r="B19" s="1">
        <v>8</v>
      </c>
      <c r="C19" s="3" t="s">
        <v>13</v>
      </c>
      <c r="F19" t="s">
        <v>25</v>
      </c>
      <c r="G19" t="s">
        <v>85</v>
      </c>
    </row>
    <row r="20" spans="2:7" x14ac:dyDescent="0.25">
      <c r="G20" t="s">
        <v>85</v>
      </c>
    </row>
    <row r="21" spans="2:7" x14ac:dyDescent="0.25">
      <c r="B21" s="2" t="s">
        <v>101</v>
      </c>
    </row>
    <row r="22" spans="2:7" x14ac:dyDescent="0.25">
      <c r="C22" s="3" t="s">
        <v>102</v>
      </c>
      <c r="F22" t="s">
        <v>25</v>
      </c>
      <c r="G22" t="s">
        <v>85</v>
      </c>
    </row>
    <row r="23" spans="2:7" x14ac:dyDescent="0.25">
      <c r="C23" s="3" t="s">
        <v>103</v>
      </c>
      <c r="F23" t="s">
        <v>25</v>
      </c>
      <c r="G23" t="s">
        <v>85</v>
      </c>
    </row>
    <row r="25" spans="2:7" x14ac:dyDescent="0.25">
      <c r="B25" t="s">
        <v>104</v>
      </c>
    </row>
    <row r="26" spans="2:7" x14ac:dyDescent="0.25">
      <c r="B26" s="1">
        <v>1</v>
      </c>
      <c r="C26" s="3" t="s">
        <v>21</v>
      </c>
      <c r="F26" t="s">
        <v>25</v>
      </c>
      <c r="G26" t="s">
        <v>85</v>
      </c>
    </row>
    <row r="27" spans="2:7" x14ac:dyDescent="0.25">
      <c r="B27" s="1">
        <v>2</v>
      </c>
      <c r="C27" s="3" t="s">
        <v>91</v>
      </c>
      <c r="F27" t="s">
        <v>25</v>
      </c>
      <c r="G27" t="s">
        <v>85</v>
      </c>
    </row>
    <row r="28" spans="2:7" x14ac:dyDescent="0.25">
      <c r="B28" s="1">
        <v>3</v>
      </c>
      <c r="C28" s="3" t="s">
        <v>89</v>
      </c>
      <c r="F28" t="s">
        <v>25</v>
      </c>
      <c r="G28" t="s">
        <v>85</v>
      </c>
    </row>
    <row r="29" spans="2:7" x14ac:dyDescent="0.25">
      <c r="B29" s="1">
        <v>4</v>
      </c>
      <c r="C29" s="3" t="s">
        <v>9</v>
      </c>
      <c r="F29" t="s">
        <v>25</v>
      </c>
      <c r="G29" t="s">
        <v>85</v>
      </c>
    </row>
    <row r="30" spans="2:7" x14ac:dyDescent="0.25">
      <c r="B30" s="1">
        <v>5</v>
      </c>
      <c r="C30" s="3" t="s">
        <v>10</v>
      </c>
      <c r="F30" t="s">
        <v>25</v>
      </c>
      <c r="G30" t="s">
        <v>85</v>
      </c>
    </row>
    <row r="31" spans="2:7" x14ac:dyDescent="0.25">
      <c r="B31" s="1">
        <v>6</v>
      </c>
      <c r="C31" s="3" t="s">
        <v>75</v>
      </c>
      <c r="F31" t="s">
        <v>25</v>
      </c>
      <c r="G31" t="s">
        <v>85</v>
      </c>
    </row>
    <row r="32" spans="2:7" x14ac:dyDescent="0.25">
      <c r="B32" s="1">
        <v>7</v>
      </c>
      <c r="C32" s="3" t="s">
        <v>12</v>
      </c>
      <c r="F32" t="s">
        <v>25</v>
      </c>
      <c r="G32" t="s">
        <v>85</v>
      </c>
    </row>
    <row r="33" spans="1:8" x14ac:dyDescent="0.25">
      <c r="B33" s="1">
        <v>8</v>
      </c>
      <c r="C33" s="3" t="s">
        <v>13</v>
      </c>
      <c r="F33" t="s">
        <v>25</v>
      </c>
      <c r="G33" t="s">
        <v>85</v>
      </c>
    </row>
    <row r="34" spans="1:8" x14ac:dyDescent="0.25">
      <c r="G34" t="s">
        <v>85</v>
      </c>
    </row>
    <row r="35" spans="1:8" x14ac:dyDescent="0.25">
      <c r="B35" t="s">
        <v>105</v>
      </c>
    </row>
    <row r="36" spans="1:8" x14ac:dyDescent="0.25">
      <c r="A36" t="s">
        <v>94</v>
      </c>
    </row>
    <row r="39" spans="1:8" x14ac:dyDescent="0.25">
      <c r="H39" t="s">
        <v>106</v>
      </c>
    </row>
    <row r="40" spans="1:8" x14ac:dyDescent="0.25">
      <c r="H40" t="s">
        <v>23</v>
      </c>
    </row>
    <row r="44" spans="1:8" x14ac:dyDescent="0.25">
      <c r="H44" t="s">
        <v>107</v>
      </c>
    </row>
    <row r="46" spans="1:8" x14ac:dyDescent="0.25">
      <c r="A46" t="s">
        <v>108</v>
      </c>
    </row>
  </sheetData>
  <mergeCells count="5">
    <mergeCell ref="A4:K4"/>
    <mergeCell ref="A5:K5"/>
    <mergeCell ref="A6:K6"/>
    <mergeCell ref="A8:K8"/>
    <mergeCell ref="A9:K9"/>
  </mergeCells>
  <pageMargins left="0.70866141732283472" right="0.70866141732283472" top="0.74803149606299213" bottom="0.74803149606299213" header="0.31496062992125984" footer="0.31496062992125984"/>
  <pageSetup paperSize="5" orientation="portrait" horizontalDpi="4294967293" verticalDpi="4294967293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"/>
  <sheetViews>
    <sheetView workbookViewId="0">
      <selection activeCell="M4" sqref="M4"/>
    </sheetView>
  </sheetViews>
  <sheetFormatPr defaultRowHeight="15" x14ac:dyDescent="0.25"/>
  <cols>
    <col min="1" max="2" width="4.42578125" customWidth="1"/>
    <col min="6" max="6" width="3" customWidth="1"/>
  </cols>
  <sheetData>
    <row r="1" spans="1:13" s="3" customFormat="1" ht="14.25" x14ac:dyDescent="0.2"/>
    <row r="2" spans="1:13" s="3" customFormat="1" ht="14.25" x14ac:dyDescent="0.2"/>
    <row r="3" spans="1:13" s="3" customFormat="1" ht="14.25" x14ac:dyDescent="0.2"/>
    <row r="4" spans="1:13" s="3" customFormat="1" ht="18.75" customHeight="1" x14ac:dyDescent="0.25">
      <c r="A4" s="85" t="s">
        <v>0</v>
      </c>
      <c r="B4" s="85"/>
      <c r="C4" s="85"/>
      <c r="D4" s="85"/>
      <c r="E4" s="85"/>
      <c r="F4" s="85"/>
      <c r="G4" s="85"/>
      <c r="H4" s="85"/>
      <c r="I4" s="85"/>
      <c r="J4" s="85"/>
      <c r="K4" s="85"/>
      <c r="M4" s="69" t="str">
        <f>HYPERLINK("#'Isian Data'!A1", "⬅️ Kembali ke Isisan Data")</f>
        <v>⬅️ Kembali ke Isisan Data</v>
      </c>
    </row>
    <row r="5" spans="1:13" s="3" customFormat="1" ht="18.75" customHeight="1" x14ac:dyDescent="0.25">
      <c r="A5" s="85" t="s">
        <v>1</v>
      </c>
      <c r="B5" s="85"/>
      <c r="C5" s="85"/>
      <c r="D5" s="85"/>
      <c r="E5" s="85"/>
      <c r="F5" s="85"/>
      <c r="G5" s="85"/>
      <c r="H5" s="85"/>
      <c r="I5" s="85"/>
      <c r="J5" s="85"/>
      <c r="K5" s="85"/>
    </row>
    <row r="6" spans="1:13" s="3" customFormat="1" ht="18.75" customHeight="1" x14ac:dyDescent="0.25">
      <c r="A6" s="85" t="s">
        <v>159</v>
      </c>
      <c r="B6" s="85"/>
      <c r="C6" s="85"/>
      <c r="D6" s="85"/>
      <c r="E6" s="85"/>
      <c r="F6" s="85"/>
      <c r="G6" s="85"/>
      <c r="H6" s="85"/>
      <c r="I6" s="85"/>
      <c r="J6" s="85"/>
      <c r="K6" s="85"/>
    </row>
    <row r="7" spans="1:13" s="3" customFormat="1" x14ac:dyDescent="0.25">
      <c r="K7" s="5" t="s">
        <v>109</v>
      </c>
    </row>
    <row r="8" spans="1:13" ht="18" x14ac:dyDescent="0.25">
      <c r="A8" s="87" t="s">
        <v>98</v>
      </c>
      <c r="B8" s="87"/>
      <c r="C8" s="87"/>
      <c r="D8" s="87"/>
      <c r="E8" s="87"/>
      <c r="F8" s="87"/>
      <c r="G8" s="87"/>
      <c r="H8" s="87"/>
      <c r="I8" s="87"/>
      <c r="J8" s="87"/>
      <c r="K8" s="87"/>
    </row>
    <row r="9" spans="1:13" ht="18" x14ac:dyDescent="0.25">
      <c r="A9" s="85" t="s">
        <v>99</v>
      </c>
      <c r="B9" s="85"/>
      <c r="C9" s="85"/>
      <c r="D9" s="85"/>
      <c r="E9" s="85"/>
      <c r="F9" s="85"/>
      <c r="G9" s="85"/>
      <c r="H9" s="85"/>
      <c r="I9" s="85"/>
      <c r="J9" s="85"/>
      <c r="K9" s="85"/>
    </row>
    <row r="11" spans="1:13" x14ac:dyDescent="0.25">
      <c r="A11" t="s">
        <v>100</v>
      </c>
    </row>
    <row r="12" spans="1:13" x14ac:dyDescent="0.25">
      <c r="A12" t="s">
        <v>71</v>
      </c>
      <c r="B12" s="1">
        <v>1</v>
      </c>
      <c r="C12" s="3" t="s">
        <v>21</v>
      </c>
      <c r="F12" t="s">
        <v>25</v>
      </c>
      <c r="G12" t="s">
        <v>85</v>
      </c>
    </row>
    <row r="13" spans="1:13" x14ac:dyDescent="0.25">
      <c r="B13" s="1">
        <v>2</v>
      </c>
      <c r="C13" s="3" t="s">
        <v>91</v>
      </c>
      <c r="F13" t="s">
        <v>25</v>
      </c>
      <c r="G13" t="s">
        <v>85</v>
      </c>
    </row>
    <row r="14" spans="1:13" x14ac:dyDescent="0.25">
      <c r="B14" s="1">
        <v>3</v>
      </c>
      <c r="C14" s="3" t="s">
        <v>89</v>
      </c>
      <c r="F14" t="s">
        <v>25</v>
      </c>
      <c r="G14" t="s">
        <v>85</v>
      </c>
    </row>
    <row r="15" spans="1:13" x14ac:dyDescent="0.25">
      <c r="B15" s="1">
        <v>4</v>
      </c>
      <c r="C15" s="3" t="s">
        <v>9</v>
      </c>
      <c r="F15" t="s">
        <v>25</v>
      </c>
      <c r="G15" t="s">
        <v>85</v>
      </c>
    </row>
    <row r="16" spans="1:13" x14ac:dyDescent="0.25">
      <c r="B16" s="1">
        <v>5</v>
      </c>
      <c r="C16" s="3" t="s">
        <v>10</v>
      </c>
      <c r="F16" t="s">
        <v>25</v>
      </c>
      <c r="G16" t="s">
        <v>85</v>
      </c>
    </row>
    <row r="17" spans="2:7" x14ac:dyDescent="0.25">
      <c r="B17" s="1">
        <v>6</v>
      </c>
      <c r="C17" s="3" t="s">
        <v>75</v>
      </c>
      <c r="F17" t="s">
        <v>25</v>
      </c>
      <c r="G17" t="s">
        <v>85</v>
      </c>
    </row>
    <row r="18" spans="2:7" x14ac:dyDescent="0.25">
      <c r="B18" s="1">
        <v>7</v>
      </c>
      <c r="C18" s="3" t="s">
        <v>12</v>
      </c>
      <c r="F18" t="s">
        <v>25</v>
      </c>
      <c r="G18" t="s">
        <v>85</v>
      </c>
    </row>
    <row r="19" spans="2:7" x14ac:dyDescent="0.25">
      <c r="B19" s="1">
        <v>8</v>
      </c>
      <c r="C19" s="3" t="s">
        <v>13</v>
      </c>
      <c r="F19" t="s">
        <v>25</v>
      </c>
      <c r="G19" t="s">
        <v>85</v>
      </c>
    </row>
    <row r="20" spans="2:7" x14ac:dyDescent="0.25">
      <c r="G20" t="s">
        <v>85</v>
      </c>
    </row>
    <row r="21" spans="2:7" x14ac:dyDescent="0.25">
      <c r="B21" s="2" t="s">
        <v>101</v>
      </c>
    </row>
    <row r="22" spans="2:7" x14ac:dyDescent="0.25">
      <c r="C22" s="3" t="s">
        <v>102</v>
      </c>
      <c r="F22" t="s">
        <v>25</v>
      </c>
      <c r="G22" t="s">
        <v>85</v>
      </c>
    </row>
    <row r="23" spans="2:7" x14ac:dyDescent="0.25">
      <c r="C23" s="3" t="s">
        <v>103</v>
      </c>
      <c r="F23" t="s">
        <v>25</v>
      </c>
      <c r="G23" t="s">
        <v>85</v>
      </c>
    </row>
    <row r="25" spans="2:7" x14ac:dyDescent="0.25">
      <c r="B25" t="s">
        <v>104</v>
      </c>
    </row>
    <row r="26" spans="2:7" x14ac:dyDescent="0.25">
      <c r="B26" s="1">
        <v>1</v>
      </c>
      <c r="C26" s="3" t="s">
        <v>21</v>
      </c>
      <c r="F26" t="s">
        <v>25</v>
      </c>
      <c r="G26" t="s">
        <v>85</v>
      </c>
    </row>
    <row r="27" spans="2:7" x14ac:dyDescent="0.25">
      <c r="B27" s="1">
        <v>2</v>
      </c>
      <c r="C27" s="3" t="s">
        <v>91</v>
      </c>
      <c r="F27" t="s">
        <v>25</v>
      </c>
      <c r="G27" t="s">
        <v>85</v>
      </c>
    </row>
    <row r="28" spans="2:7" x14ac:dyDescent="0.25">
      <c r="B28" s="1">
        <v>3</v>
      </c>
      <c r="C28" s="3" t="s">
        <v>89</v>
      </c>
      <c r="F28" t="s">
        <v>25</v>
      </c>
      <c r="G28" t="s">
        <v>85</v>
      </c>
    </row>
    <row r="29" spans="2:7" x14ac:dyDescent="0.25">
      <c r="B29" s="1">
        <v>4</v>
      </c>
      <c r="C29" s="3" t="s">
        <v>9</v>
      </c>
      <c r="F29" t="s">
        <v>25</v>
      </c>
      <c r="G29" t="s">
        <v>85</v>
      </c>
    </row>
    <row r="30" spans="2:7" x14ac:dyDescent="0.25">
      <c r="B30" s="1">
        <v>5</v>
      </c>
      <c r="C30" s="3" t="s">
        <v>10</v>
      </c>
      <c r="F30" t="s">
        <v>25</v>
      </c>
      <c r="G30" t="s">
        <v>85</v>
      </c>
    </row>
    <row r="31" spans="2:7" x14ac:dyDescent="0.25">
      <c r="B31" s="1">
        <v>6</v>
      </c>
      <c r="C31" s="3" t="s">
        <v>75</v>
      </c>
      <c r="F31" t="s">
        <v>25</v>
      </c>
      <c r="G31" t="s">
        <v>85</v>
      </c>
    </row>
    <row r="32" spans="2:7" x14ac:dyDescent="0.25">
      <c r="B32" s="1">
        <v>7</v>
      </c>
      <c r="C32" s="3" t="s">
        <v>12</v>
      </c>
      <c r="F32" t="s">
        <v>25</v>
      </c>
      <c r="G32" t="s">
        <v>85</v>
      </c>
    </row>
    <row r="33" spans="1:8" x14ac:dyDescent="0.25">
      <c r="B33" s="1">
        <v>8</v>
      </c>
      <c r="C33" s="3" t="s">
        <v>13</v>
      </c>
      <c r="F33" t="s">
        <v>25</v>
      </c>
      <c r="G33" t="s">
        <v>85</v>
      </c>
    </row>
    <row r="34" spans="1:8" x14ac:dyDescent="0.25">
      <c r="G34" t="s">
        <v>85</v>
      </c>
    </row>
    <row r="35" spans="1:8" x14ac:dyDescent="0.25">
      <c r="B35" t="s">
        <v>105</v>
      </c>
    </row>
    <row r="36" spans="1:8" x14ac:dyDescent="0.25">
      <c r="A36" t="s">
        <v>94</v>
      </c>
    </row>
    <row r="39" spans="1:8" x14ac:dyDescent="0.25">
      <c r="H39" t="s">
        <v>106</v>
      </c>
    </row>
    <row r="40" spans="1:8" x14ac:dyDescent="0.25">
      <c r="H40" t="s">
        <v>23</v>
      </c>
    </row>
    <row r="44" spans="1:8" x14ac:dyDescent="0.25">
      <c r="H44" t="s">
        <v>107</v>
      </c>
    </row>
    <row r="46" spans="1:8" x14ac:dyDescent="0.25">
      <c r="A46" t="s">
        <v>108</v>
      </c>
    </row>
  </sheetData>
  <mergeCells count="5">
    <mergeCell ref="A4:K4"/>
    <mergeCell ref="A5:K5"/>
    <mergeCell ref="A6:K6"/>
    <mergeCell ref="A8:K8"/>
    <mergeCell ref="A9:K9"/>
  </mergeCells>
  <pageMargins left="0.70866141732283472" right="0.70866141732283472" top="0.74803149606299213" bottom="0.74803149606299213" header="0.31496062992125984" footer="0.31496062992125984"/>
  <pageSetup paperSize="5" orientation="portrait" horizontalDpi="4294967293" verticalDpi="4294967293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8"/>
  <sheetViews>
    <sheetView showZeros="0" view="pageLayout" zoomScale="85" zoomScaleNormal="100" zoomScalePageLayoutView="85" workbookViewId="0">
      <selection activeCell="O21" sqref="O21"/>
    </sheetView>
  </sheetViews>
  <sheetFormatPr defaultRowHeight="14.25" x14ac:dyDescent="0.2"/>
  <cols>
    <col min="1" max="1" width="4.5703125" style="3" customWidth="1"/>
    <col min="2" max="2" width="4.140625" style="3" customWidth="1"/>
    <col min="3" max="4" width="9.140625" style="3"/>
    <col min="5" max="5" width="2.85546875" style="3" customWidth="1"/>
    <col min="6" max="6" width="4.140625" style="8" customWidth="1"/>
    <col min="7" max="7" width="14.28515625" style="3" bestFit="1" customWidth="1"/>
    <col min="8" max="8" width="9.140625" style="3"/>
    <col min="9" max="9" width="8.42578125" style="3" customWidth="1"/>
    <col min="10" max="10" width="10.140625" style="3" customWidth="1"/>
    <col min="11" max="16384" width="9.140625" style="3"/>
  </cols>
  <sheetData>
    <row r="1" spans="1:15" ht="15" x14ac:dyDescent="0.25">
      <c r="A1" s="98" t="s">
        <v>110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O1" s="3" t="str">
        <f>HYPERLINK("#'Isian Data'!A1", "⬅️ Kembali ke Isisan Data")</f>
        <v>⬅️ Kembali ke Isisan Data</v>
      </c>
    </row>
    <row r="2" spans="1:15" ht="15" x14ac:dyDescent="0.25">
      <c r="A2" s="98" t="s">
        <v>111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</row>
    <row r="4" spans="1:15" ht="15" x14ac:dyDescent="0.25">
      <c r="A4" s="8" t="s">
        <v>71</v>
      </c>
      <c r="B4" s="8"/>
      <c r="C4" s="5" t="s">
        <v>112</v>
      </c>
      <c r="D4" s="5"/>
      <c r="E4" s="5"/>
    </row>
    <row r="5" spans="1:15" x14ac:dyDescent="0.2">
      <c r="A5" s="8"/>
      <c r="B5" s="8"/>
      <c r="C5" s="3" t="s">
        <v>113</v>
      </c>
      <c r="F5" s="8" t="s">
        <v>25</v>
      </c>
      <c r="G5" s="36" t="str">
        <f>'ISIAN DATA'!G4</f>
        <v>2026-09-23</v>
      </c>
      <c r="H5" s="10"/>
      <c r="I5" s="10"/>
      <c r="J5" s="10"/>
      <c r="K5" s="10" t="s">
        <v>138</v>
      </c>
      <c r="L5" s="10"/>
    </row>
    <row r="6" spans="1:15" x14ac:dyDescent="0.2">
      <c r="A6" s="8"/>
      <c r="B6" s="8"/>
      <c r="C6" s="3" t="s">
        <v>114</v>
      </c>
      <c r="F6" s="8" t="s">
        <v>25</v>
      </c>
      <c r="G6" s="10" t="str">
        <f>'ISIAN DATA'!G6</f>
        <v>DI RUMAH MEMPELAI PUTRI RT 010 RW 002 DESA TAMBI WATUKUMPUL PEMALANG</v>
      </c>
      <c r="H6" s="10"/>
      <c r="I6" s="10"/>
      <c r="J6" s="10"/>
      <c r="K6" s="10"/>
      <c r="L6" s="10"/>
    </row>
    <row r="7" spans="1:15" x14ac:dyDescent="0.2">
      <c r="A7" s="8"/>
      <c r="B7" s="8"/>
      <c r="C7" s="10" t="s">
        <v>115</v>
      </c>
      <c r="D7" s="10"/>
      <c r="E7" s="10"/>
      <c r="F7" s="8" t="s">
        <v>25</v>
      </c>
      <c r="G7" s="37">
        <f>'ISIAN DATA'!K5</f>
        <v>0</v>
      </c>
      <c r="H7" s="10"/>
      <c r="I7" s="10"/>
      <c r="J7" s="10"/>
      <c r="K7" s="10"/>
      <c r="L7" s="10"/>
    </row>
    <row r="8" spans="1:15" x14ac:dyDescent="0.2">
      <c r="A8" s="8"/>
      <c r="B8" s="8"/>
      <c r="G8" s="10"/>
      <c r="H8" s="10"/>
      <c r="I8" s="10"/>
      <c r="J8" s="10"/>
      <c r="K8" s="10"/>
      <c r="L8" s="10"/>
    </row>
    <row r="9" spans="1:15" ht="15" x14ac:dyDescent="0.25">
      <c r="A9" s="8" t="s">
        <v>76</v>
      </c>
      <c r="B9" s="8"/>
      <c r="C9" s="5" t="s">
        <v>116</v>
      </c>
      <c r="D9" s="5"/>
      <c r="E9" s="5"/>
      <c r="G9" s="10"/>
      <c r="H9" s="10"/>
      <c r="I9" s="10"/>
      <c r="J9" s="10"/>
      <c r="K9" s="10"/>
      <c r="L9" s="10"/>
    </row>
    <row r="10" spans="1:15" x14ac:dyDescent="0.2">
      <c r="A10" s="8"/>
      <c r="B10" s="8" t="s">
        <v>4</v>
      </c>
      <c r="C10" s="3" t="s">
        <v>117</v>
      </c>
      <c r="F10" s="8" t="s">
        <v>25</v>
      </c>
      <c r="G10" s="10" t="str">
        <f>'ISIAN DATA'!G8</f>
        <v>SAEFULOH</v>
      </c>
      <c r="H10" s="10"/>
      <c r="I10" s="10"/>
      <c r="J10" s="10"/>
      <c r="K10" s="10"/>
      <c r="L10" s="10"/>
    </row>
    <row r="11" spans="1:15" x14ac:dyDescent="0.2">
      <c r="A11" s="8"/>
      <c r="B11" s="8"/>
      <c r="C11" s="3" t="s">
        <v>118</v>
      </c>
      <c r="F11" s="8" t="s">
        <v>25</v>
      </c>
      <c r="G11" s="10" t="str">
        <f>'ISIAN DATA'!G10</f>
        <v>PURBALINGGA , 07 APRIL 2000</v>
      </c>
      <c r="H11" s="10"/>
      <c r="I11" s="10"/>
      <c r="J11" s="10" t="s">
        <v>276</v>
      </c>
      <c r="K11" s="34" t="str">
        <f>'ISIAN DATA'!G11</f>
        <v>3303170704000001</v>
      </c>
      <c r="L11" s="10"/>
    </row>
    <row r="12" spans="1:15" x14ac:dyDescent="0.2">
      <c r="A12" s="8"/>
      <c r="B12" s="8"/>
      <c r="C12" s="3" t="s">
        <v>119</v>
      </c>
      <c r="F12" s="8" t="s">
        <v>25</v>
      </c>
      <c r="G12" s="10"/>
      <c r="H12" s="10"/>
      <c r="I12" s="10"/>
      <c r="J12" s="10" t="s">
        <v>143</v>
      </c>
      <c r="K12" s="10" t="str">
        <f>'ISIAN DATA'!G17</f>
        <v>SLTA</v>
      </c>
      <c r="L12" s="10"/>
    </row>
    <row r="13" spans="1:15" x14ac:dyDescent="0.2">
      <c r="A13" s="8"/>
      <c r="B13" s="8"/>
      <c r="C13" s="3" t="s">
        <v>12</v>
      </c>
      <c r="F13" s="8" t="s">
        <v>25</v>
      </c>
      <c r="G13" s="10"/>
      <c r="H13" s="10"/>
      <c r="J13" s="10" t="s">
        <v>140</v>
      </c>
      <c r="K13" s="22">
        <v>1</v>
      </c>
      <c r="L13" s="10"/>
    </row>
    <row r="14" spans="1:15" x14ac:dyDescent="0.2">
      <c r="A14" s="8"/>
      <c r="B14" s="8"/>
      <c r="C14" s="3" t="s">
        <v>120</v>
      </c>
      <c r="F14" s="8" t="s">
        <v>25</v>
      </c>
      <c r="G14" s="10" t="s">
        <v>275</v>
      </c>
      <c r="H14" s="10"/>
      <c r="I14" s="10"/>
      <c r="J14" s="10"/>
      <c r="K14" s="10"/>
      <c r="L14" s="10"/>
    </row>
    <row r="15" spans="1:15" ht="24.75" customHeight="1" x14ac:dyDescent="0.2">
      <c r="A15" s="8"/>
      <c r="B15" s="8"/>
      <c r="C15" s="3" t="s">
        <v>121</v>
      </c>
      <c r="F15" s="8" t="s">
        <v>25</v>
      </c>
      <c r="G15" s="97" t="str">
        <f>'ISIAN DATA'!G16</f>
        <v>RT 004 RW 001 DESA JINGKANG KECAMATAN KARANGJAMBU KABUPATEN PURBALINGGA</v>
      </c>
      <c r="H15" s="97"/>
      <c r="I15" s="97"/>
      <c r="J15" s="97"/>
      <c r="K15" s="97"/>
      <c r="L15" s="97"/>
    </row>
    <row r="16" spans="1:15" x14ac:dyDescent="0.2">
      <c r="A16" s="8"/>
      <c r="B16" s="8"/>
      <c r="C16" s="3" t="s">
        <v>122</v>
      </c>
      <c r="F16" s="8" t="s">
        <v>25</v>
      </c>
      <c r="G16" s="10"/>
      <c r="H16" s="10"/>
      <c r="I16" s="10"/>
      <c r="J16" s="10" t="s">
        <v>142</v>
      </c>
      <c r="K16" s="10"/>
      <c r="L16" s="10"/>
    </row>
    <row r="17" spans="1:13" x14ac:dyDescent="0.2">
      <c r="A17" s="8"/>
      <c r="B17" s="8"/>
    </row>
    <row r="18" spans="1:13" x14ac:dyDescent="0.2">
      <c r="A18" s="8"/>
      <c r="B18" s="8" t="s">
        <v>6</v>
      </c>
      <c r="C18" s="3" t="s">
        <v>123</v>
      </c>
      <c r="F18" s="8" t="s">
        <v>25</v>
      </c>
      <c r="G18" s="10" t="str">
        <f>'ISIAN DATA'!G19</f>
        <v>KUNENI</v>
      </c>
      <c r="H18" s="10"/>
      <c r="I18" s="10"/>
      <c r="J18" s="10" t="s">
        <v>276</v>
      </c>
      <c r="K18" s="34" t="str">
        <f>'ISIAN DATA'!G20</f>
        <v>3303170406740001</v>
      </c>
      <c r="L18" s="10"/>
    </row>
    <row r="19" spans="1:13" x14ac:dyDescent="0.2">
      <c r="A19" s="8"/>
      <c r="B19" s="8"/>
      <c r="C19" s="3" t="s">
        <v>118</v>
      </c>
      <c r="F19" s="8" t="s">
        <v>25</v>
      </c>
      <c r="G19" s="10" t="str">
        <f>'ISIAN DATA'!G21</f>
        <v>PURBALINGGA, 04 JUNI 1974</v>
      </c>
      <c r="H19" s="10"/>
      <c r="I19" s="10"/>
      <c r="J19" s="10" t="s">
        <v>143</v>
      </c>
      <c r="K19" s="10" t="str">
        <f>'ISIAN DATA'!G22</f>
        <v>PETANI/ PEKEBUN</v>
      </c>
      <c r="L19" s="10"/>
    </row>
    <row r="20" spans="1:13" ht="25.5" customHeight="1" x14ac:dyDescent="0.2">
      <c r="A20" s="8"/>
      <c r="B20" s="8"/>
      <c r="C20" s="3" t="s">
        <v>121</v>
      </c>
      <c r="F20" s="8" t="s">
        <v>25</v>
      </c>
      <c r="G20" s="97" t="str">
        <f>'ISIAN DATA'!G23</f>
        <v>RT 004 RW 001 DESA JINGKANG KECAMATAN KARANGJAMBU KABUPATEN PURBALINGGA</v>
      </c>
      <c r="H20" s="97"/>
      <c r="I20" s="97"/>
      <c r="J20" s="97"/>
      <c r="K20" s="97"/>
      <c r="L20" s="97"/>
    </row>
    <row r="21" spans="1:13" x14ac:dyDescent="0.2">
      <c r="A21" s="8"/>
      <c r="B21" s="8"/>
      <c r="G21" s="10" t="s">
        <v>274</v>
      </c>
      <c r="H21" s="10"/>
      <c r="I21" s="10"/>
      <c r="J21" s="10"/>
      <c r="K21" s="10"/>
      <c r="L21" s="10"/>
    </row>
    <row r="22" spans="1:13" x14ac:dyDescent="0.2">
      <c r="A22" s="8"/>
      <c r="B22" s="8" t="s">
        <v>124</v>
      </c>
      <c r="C22" s="3" t="s">
        <v>125</v>
      </c>
      <c r="F22" s="8" t="s">
        <v>25</v>
      </c>
      <c r="G22" s="10" t="str">
        <f>'ISIAN DATA'!G26</f>
        <v>DARYATI</v>
      </c>
      <c r="H22" s="10"/>
      <c r="I22" s="10"/>
      <c r="J22" s="10" t="s">
        <v>276</v>
      </c>
      <c r="K22" s="34" t="str">
        <f>'ISIAN DATA'!G27</f>
        <v>3303174705800003</v>
      </c>
      <c r="L22" s="10"/>
    </row>
    <row r="23" spans="1:13" ht="23.25" customHeight="1" x14ac:dyDescent="0.2">
      <c r="A23" s="8"/>
      <c r="B23" s="8"/>
      <c r="C23" s="3" t="s">
        <v>118</v>
      </c>
      <c r="F23" s="8" t="s">
        <v>25</v>
      </c>
      <c r="G23" s="10" t="str">
        <f>'ISIAN DATA'!G28</f>
        <v>PURBALINGGA, 07 JUNI 1980</v>
      </c>
      <c r="H23" s="10"/>
      <c r="I23" s="10"/>
      <c r="J23" s="10" t="s">
        <v>143</v>
      </c>
      <c r="K23" s="97" t="str">
        <f>'ISIAN DATA'!G29</f>
        <v>Mengurus Rumah Tangga</v>
      </c>
      <c r="L23" s="97"/>
    </row>
    <row r="24" spans="1:13" ht="26.25" customHeight="1" x14ac:dyDescent="0.2">
      <c r="A24" s="8"/>
      <c r="B24" s="8"/>
      <c r="C24" s="3" t="s">
        <v>121</v>
      </c>
      <c r="F24" s="8" t="s">
        <v>25</v>
      </c>
      <c r="G24" s="97" t="str">
        <f>'ISIAN DATA'!G30</f>
        <v>RT 004 RW 001 DESA JINGKANG KECAMATAN KARANGJAMBU KABUPATEN PURBALINGGA</v>
      </c>
      <c r="H24" s="97"/>
      <c r="I24" s="97"/>
      <c r="J24" s="97"/>
      <c r="K24" s="97"/>
      <c r="L24" s="97"/>
    </row>
    <row r="25" spans="1:13" x14ac:dyDescent="0.2">
      <c r="A25" s="8"/>
      <c r="B25" s="8"/>
    </row>
    <row r="26" spans="1:13" x14ac:dyDescent="0.2">
      <c r="A26" s="8" t="s">
        <v>126</v>
      </c>
      <c r="B26" s="8"/>
      <c r="C26" s="3" t="s">
        <v>127</v>
      </c>
    </row>
    <row r="27" spans="1:13" x14ac:dyDescent="0.2">
      <c r="A27" s="8"/>
      <c r="B27" s="8" t="s">
        <v>4</v>
      </c>
      <c r="C27" s="3" t="s">
        <v>117</v>
      </c>
      <c r="F27" s="8" t="s">
        <v>25</v>
      </c>
      <c r="G27" s="10" t="str">
        <f>'ISIAN DATA'!G34</f>
        <v>SUSILAH</v>
      </c>
      <c r="J27" s="10" t="s">
        <v>276</v>
      </c>
      <c r="K27" s="34" t="str">
        <f>'ISIAN DATA'!G37</f>
        <v>3327045109990007</v>
      </c>
      <c r="M27" s="10"/>
    </row>
    <row r="28" spans="1:13" x14ac:dyDescent="0.2">
      <c r="A28" s="8"/>
      <c r="B28" s="8"/>
      <c r="C28" s="3" t="s">
        <v>118</v>
      </c>
      <c r="F28" s="8" t="s">
        <v>25</v>
      </c>
      <c r="G28" s="10" t="str">
        <f>'ISIAN DATA'!G36</f>
        <v>PEMALANG, 11 SEPTEMBER 1999</v>
      </c>
      <c r="J28" s="10" t="s">
        <v>143</v>
      </c>
      <c r="K28" s="10" t="str">
        <f>'ISIAN DATA'!G43</f>
        <v>SLTA</v>
      </c>
      <c r="M28" s="10"/>
    </row>
    <row r="29" spans="1:13" x14ac:dyDescent="0.2">
      <c r="A29" s="8"/>
      <c r="B29" s="8"/>
      <c r="C29" s="3" t="s">
        <v>119</v>
      </c>
      <c r="F29" s="8" t="s">
        <v>25</v>
      </c>
      <c r="G29" s="35" t="s">
        <v>273</v>
      </c>
      <c r="I29" s="3" t="s">
        <v>140</v>
      </c>
    </row>
    <row r="30" spans="1:13" x14ac:dyDescent="0.2">
      <c r="A30" s="8"/>
      <c r="B30" s="8"/>
      <c r="C30" s="3" t="s">
        <v>12</v>
      </c>
      <c r="F30" s="8" t="s">
        <v>25</v>
      </c>
      <c r="G30" s="3" t="s">
        <v>147</v>
      </c>
    </row>
    <row r="31" spans="1:13" x14ac:dyDescent="0.2">
      <c r="A31" s="8"/>
      <c r="B31" s="8"/>
      <c r="C31" s="3" t="s">
        <v>120</v>
      </c>
      <c r="F31" s="8" t="s">
        <v>25</v>
      </c>
      <c r="G31" s="3" t="str">
        <f>'ISIAN DATA'!G39</f>
        <v>BELUM KAWIN</v>
      </c>
    </row>
    <row r="32" spans="1:13" ht="27.75" customHeight="1" x14ac:dyDescent="0.2">
      <c r="A32" s="8"/>
      <c r="B32" s="8"/>
      <c r="C32" s="3" t="s">
        <v>121</v>
      </c>
      <c r="F32" s="8" t="s">
        <v>25</v>
      </c>
      <c r="G32" s="97" t="str">
        <f>'ISIAN DATA'!G41</f>
        <v>RT 002 RW 004 DESA TAMBI KECAMATAN WATUKUMPUL KABUPATEN PEMALANG</v>
      </c>
      <c r="H32" s="97"/>
      <c r="I32" s="97"/>
      <c r="J32" s="97"/>
      <c r="K32" s="97"/>
      <c r="L32" s="97"/>
      <c r="M32" s="97"/>
    </row>
    <row r="33" spans="1:13" x14ac:dyDescent="0.2">
      <c r="A33" s="8"/>
      <c r="B33" s="8"/>
      <c r="C33" s="3" t="s">
        <v>122</v>
      </c>
      <c r="F33" s="8" t="s">
        <v>25</v>
      </c>
      <c r="J33" s="3" t="s">
        <v>142</v>
      </c>
    </row>
    <row r="34" spans="1:13" x14ac:dyDescent="0.2">
      <c r="A34" s="8"/>
      <c r="B34" s="8"/>
    </row>
    <row r="35" spans="1:13" x14ac:dyDescent="0.2">
      <c r="A35" s="8"/>
      <c r="B35" s="8" t="s">
        <v>6</v>
      </c>
      <c r="C35" s="3" t="s">
        <v>123</v>
      </c>
      <c r="F35" s="8" t="s">
        <v>25</v>
      </c>
      <c r="G35" s="10" t="str">
        <f>'ISIAN DATA'!G45</f>
        <v>RUSMAN</v>
      </c>
      <c r="H35" s="10"/>
      <c r="I35" s="10"/>
      <c r="J35" s="10" t="s">
        <v>276</v>
      </c>
      <c r="K35" s="34" t="str">
        <f>'ISIAN DATA'!G46</f>
        <v>3327040107740063</v>
      </c>
      <c r="L35" s="10"/>
    </row>
    <row r="36" spans="1:13" x14ac:dyDescent="0.2">
      <c r="A36" s="8"/>
      <c r="B36" s="8"/>
      <c r="C36" s="3" t="s">
        <v>118</v>
      </c>
      <c r="F36" s="8" t="s">
        <v>25</v>
      </c>
      <c r="G36" s="10" t="str">
        <f>'ISIAN DATA'!G47</f>
        <v>PEMALANG, 01 JULI 1974</v>
      </c>
      <c r="H36" s="10"/>
      <c r="I36" s="10"/>
      <c r="J36" s="10" t="s">
        <v>143</v>
      </c>
      <c r="K36" s="10" t="str">
        <f>'ISIAN DATA'!G48</f>
        <v>PETANI/ PEKEBUN</v>
      </c>
      <c r="L36" s="10"/>
    </row>
    <row r="37" spans="1:13" x14ac:dyDescent="0.2">
      <c r="A37" s="8"/>
      <c r="B37" s="8"/>
      <c r="C37" s="3" t="s">
        <v>121</v>
      </c>
      <c r="F37" s="8" t="s">
        <v>25</v>
      </c>
      <c r="G37" s="97" t="str">
        <f>'ISIAN DATA'!G49</f>
        <v>RT 002 RW 004 DESA TAMBI KECAMATAN WATUKUMPUL KABUPATEN PEMALANG</v>
      </c>
      <c r="H37" s="97"/>
      <c r="I37" s="97"/>
      <c r="J37" s="97"/>
      <c r="K37" s="97"/>
      <c r="L37" s="97"/>
      <c r="M37" s="97"/>
    </row>
    <row r="38" spans="1:13" x14ac:dyDescent="0.2">
      <c r="A38" s="8"/>
      <c r="B38" s="8"/>
      <c r="G38" s="97"/>
      <c r="H38" s="97"/>
      <c r="I38" s="97"/>
      <c r="J38" s="97"/>
      <c r="K38" s="97"/>
      <c r="L38" s="97"/>
      <c r="M38" s="97"/>
    </row>
    <row r="39" spans="1:13" x14ac:dyDescent="0.2">
      <c r="A39" s="8"/>
      <c r="B39" s="8" t="s">
        <v>124</v>
      </c>
      <c r="C39" s="3" t="s">
        <v>125</v>
      </c>
      <c r="F39" s="8" t="s">
        <v>25</v>
      </c>
      <c r="G39" s="10" t="str">
        <f>'ISIAN DATA'!G52</f>
        <v>KHOSINGAH</v>
      </c>
      <c r="H39" s="10"/>
      <c r="I39" s="10"/>
      <c r="J39" s="10" t="s">
        <v>276</v>
      </c>
      <c r="K39" s="34" t="str">
        <f>'ISIAN DATA'!G53</f>
        <v>3327044107810112</v>
      </c>
    </row>
    <row r="40" spans="1:13" ht="24" customHeight="1" x14ac:dyDescent="0.2">
      <c r="A40" s="8"/>
      <c r="B40" s="8"/>
      <c r="C40" s="3" t="s">
        <v>118</v>
      </c>
      <c r="F40" s="8" t="s">
        <v>25</v>
      </c>
      <c r="G40" s="10" t="str">
        <f>'ISIAN DATA'!G54</f>
        <v>PEMALANG 01 JULI 1981</v>
      </c>
      <c r="H40" s="10"/>
      <c r="I40" s="10"/>
      <c r="J40" s="10" t="s">
        <v>143</v>
      </c>
      <c r="K40" s="97" t="str">
        <f>'ISIAN DATA'!G55</f>
        <v>Mengurus Rumah Tangga</v>
      </c>
      <c r="L40" s="97"/>
    </row>
    <row r="41" spans="1:13" x14ac:dyDescent="0.2">
      <c r="A41" s="8"/>
      <c r="B41" s="8"/>
      <c r="C41" s="3" t="s">
        <v>121</v>
      </c>
      <c r="F41" s="8" t="s">
        <v>25</v>
      </c>
      <c r="G41" s="97" t="str">
        <f>'ISIAN DATA'!G56</f>
        <v>RT 002 RW 004 DESA TAMBI KECAMATAN WATUKUMPUL KABUPATEN PEMALANG</v>
      </c>
      <c r="H41" s="97"/>
      <c r="I41" s="97"/>
      <c r="J41" s="97"/>
      <c r="K41" s="97"/>
      <c r="L41" s="97"/>
      <c r="M41" s="97"/>
    </row>
    <row r="42" spans="1:13" x14ac:dyDescent="0.2">
      <c r="A42" s="8"/>
      <c r="B42" s="8"/>
      <c r="G42" s="97"/>
      <c r="H42" s="97"/>
      <c r="I42" s="97"/>
      <c r="J42" s="97"/>
      <c r="K42" s="97"/>
      <c r="L42" s="97"/>
      <c r="M42" s="97"/>
    </row>
    <row r="43" spans="1:13" ht="15" x14ac:dyDescent="0.25">
      <c r="A43" s="8" t="s">
        <v>128</v>
      </c>
      <c r="B43" s="8"/>
      <c r="C43" s="11" t="s">
        <v>129</v>
      </c>
      <c r="D43" s="11"/>
      <c r="E43" s="11"/>
    </row>
    <row r="44" spans="1:13" x14ac:dyDescent="0.2">
      <c r="A44" s="8"/>
      <c r="B44" s="8"/>
      <c r="C44" s="3" t="s">
        <v>130</v>
      </c>
      <c r="F44" s="8" t="s">
        <v>25</v>
      </c>
      <c r="G44" s="10" t="str">
        <f>'ISIAN DATA'!G58</f>
        <v>RUSMAN</v>
      </c>
      <c r="H44" s="10"/>
      <c r="I44" s="10"/>
      <c r="J44" s="10" t="s">
        <v>145</v>
      </c>
      <c r="K44" s="10" t="str">
        <f>'ISIAN DATA'!G59</f>
        <v>MARTA</v>
      </c>
      <c r="L44" s="10"/>
    </row>
    <row r="45" spans="1:13" x14ac:dyDescent="0.2">
      <c r="A45" s="8"/>
      <c r="B45" s="8"/>
      <c r="C45" s="3" t="s">
        <v>131</v>
      </c>
      <c r="F45" s="8" t="s">
        <v>25</v>
      </c>
      <c r="G45" s="10" t="str">
        <f>'ISIAN DATA'!G61</f>
        <v>PEMALANG, 01 JULI 1974</v>
      </c>
      <c r="H45" s="10"/>
      <c r="I45" s="10"/>
      <c r="J45" s="10" t="s">
        <v>141</v>
      </c>
      <c r="K45" s="34" t="str">
        <f>'ISIAN DATA'!G60</f>
        <v>3327040107740063</v>
      </c>
      <c r="L45" s="10"/>
    </row>
    <row r="46" spans="1:13" x14ac:dyDescent="0.2">
      <c r="A46" s="8"/>
      <c r="B46" s="8"/>
      <c r="C46" s="3" t="s">
        <v>132</v>
      </c>
      <c r="F46" s="8" t="s">
        <v>25</v>
      </c>
      <c r="G46" s="10" t="str">
        <f>'ISIAN DATA'!G64</f>
        <v>AYAH KANDUNG</v>
      </c>
      <c r="H46" s="10"/>
      <c r="I46" s="10"/>
      <c r="J46" s="10" t="s">
        <v>143</v>
      </c>
      <c r="K46" s="10" t="str">
        <f>'ISIAN DATA'!G62</f>
        <v>PETANI/ PEKEBUN</v>
      </c>
      <c r="L46" s="10"/>
    </row>
    <row r="47" spans="1:13" ht="24" customHeight="1" x14ac:dyDescent="0.2">
      <c r="A47" s="8"/>
      <c r="B47" s="8"/>
      <c r="C47" s="3" t="s">
        <v>121</v>
      </c>
      <c r="F47" s="8" t="s">
        <v>25</v>
      </c>
      <c r="G47" s="97" t="str">
        <f>'ISIAN DATA'!G63</f>
        <v>RT 002 RW 004 DESA TAMBI KECAMATAN WATUKUMPUL KABUPATEN PEMALANG</v>
      </c>
      <c r="H47" s="97"/>
      <c r="I47" s="97"/>
      <c r="J47" s="97"/>
      <c r="K47" s="97"/>
      <c r="L47" s="97"/>
    </row>
    <row r="48" spans="1:13" x14ac:dyDescent="0.2">
      <c r="A48" s="8"/>
      <c r="B48" s="8"/>
      <c r="C48" s="3" t="s">
        <v>133</v>
      </c>
      <c r="F48" s="8" t="s">
        <v>25</v>
      </c>
      <c r="G48" s="10">
        <f>'ISIAN DATA'!G65</f>
        <v>0</v>
      </c>
      <c r="H48" s="10"/>
      <c r="I48" s="10"/>
      <c r="J48" s="10"/>
      <c r="K48" s="10"/>
      <c r="L48" s="10"/>
    </row>
    <row r="49" spans="1:10" x14ac:dyDescent="0.2">
      <c r="A49" s="8"/>
      <c r="B49" s="8"/>
    </row>
    <row r="50" spans="1:10" ht="15" x14ac:dyDescent="0.25">
      <c r="A50" s="8" t="s">
        <v>134</v>
      </c>
      <c r="B50" s="8"/>
      <c r="C50" s="11" t="s">
        <v>135</v>
      </c>
      <c r="D50" s="11"/>
      <c r="E50" s="11"/>
    </row>
    <row r="51" spans="1:10" x14ac:dyDescent="0.2">
      <c r="A51" s="8"/>
      <c r="B51" s="8"/>
      <c r="C51" s="3" t="s">
        <v>136</v>
      </c>
      <c r="F51" s="8" t="s">
        <v>25</v>
      </c>
      <c r="G51" s="3" t="s">
        <v>146</v>
      </c>
    </row>
    <row r="53" spans="1:10" x14ac:dyDescent="0.2">
      <c r="I53" s="3" t="str">
        <f>'N4 PEREMPUAN'!I36</f>
        <v>TAMBI</v>
      </c>
      <c r="J53" s="3" t="str">
        <f>'N1 LAKI-LAKI'!I47</f>
        <v>, TAMBI, 29 JULI 2026</v>
      </c>
    </row>
    <row r="54" spans="1:10" x14ac:dyDescent="0.2">
      <c r="B54" s="3" t="s">
        <v>137</v>
      </c>
      <c r="I54" s="3" t="s">
        <v>63</v>
      </c>
    </row>
    <row r="58" spans="1:10" ht="15" x14ac:dyDescent="0.25">
      <c r="B58" s="5" t="str">
        <f>'N2 LAKI-LAKI'!K53</f>
        <v>Chalim Muchtarom, S.Pd.I</v>
      </c>
      <c r="I58" s="5" t="str">
        <f>'ISIAN DATA'!G8</f>
        <v>SAEFULOH</v>
      </c>
    </row>
  </sheetData>
  <mergeCells count="11">
    <mergeCell ref="G41:M42"/>
    <mergeCell ref="G47:L47"/>
    <mergeCell ref="A1:L1"/>
    <mergeCell ref="A2:L2"/>
    <mergeCell ref="G20:L20"/>
    <mergeCell ref="G24:L24"/>
    <mergeCell ref="K40:L40"/>
    <mergeCell ref="K23:L23"/>
    <mergeCell ref="G15:L15"/>
    <mergeCell ref="G32:M32"/>
    <mergeCell ref="G37:M38"/>
  </mergeCells>
  <printOptions horizontalCentered="1"/>
  <pageMargins left="0.20866141699999999" right="0.20866141699999999" top="0.24803149599999999" bottom="0.24803149599999999" header="0.31496062992126" footer="0.31496062992126"/>
  <pageSetup paperSize="169" scale="72" orientation="portrait" horizontalDpi="4294967293" vertic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showZeros="0" view="pageLayout" zoomScaleNormal="100" workbookViewId="0">
      <selection activeCell="C10" sqref="C10"/>
    </sheetView>
  </sheetViews>
  <sheetFormatPr defaultRowHeight="14.25" x14ac:dyDescent="0.2"/>
  <cols>
    <col min="1" max="1" width="9.140625" style="3"/>
    <col min="2" max="2" width="3.28515625" style="3" customWidth="1"/>
    <col min="3" max="3" width="7.7109375" style="3" customWidth="1"/>
    <col min="4" max="4" width="9.140625" style="3"/>
    <col min="5" max="5" width="4.28515625" style="8" customWidth="1"/>
    <col min="6" max="16384" width="9.140625" style="3"/>
  </cols>
  <sheetData>
    <row r="1" spans="1:12" x14ac:dyDescent="0.2">
      <c r="L1" s="3" t="str">
        <f>HYPERLINK("#'Isian Data'!A1", "⬅️ Kembali ke Isisan Data")</f>
        <v>⬅️ Kembali ke Isisan Data</v>
      </c>
    </row>
    <row r="2" spans="1:12" ht="15.75" x14ac:dyDescent="0.2">
      <c r="A2" s="99" t="s">
        <v>148</v>
      </c>
      <c r="B2" s="99"/>
      <c r="C2" s="99"/>
      <c r="D2" s="99"/>
      <c r="E2" s="99"/>
      <c r="F2" s="99"/>
      <c r="G2" s="99"/>
      <c r="H2" s="99"/>
      <c r="I2" s="99"/>
      <c r="J2" s="99"/>
      <c r="K2" s="99"/>
    </row>
    <row r="4" spans="1:12" ht="30" customHeight="1" x14ac:dyDescent="0.25">
      <c r="A4" s="61" t="s">
        <v>149</v>
      </c>
      <c r="B4" s="3" t="s">
        <v>25</v>
      </c>
      <c r="C4" s="100" t="str">
        <f>'ISIAN DATA'!G6</f>
        <v>DI RUMAH MEMPELAI PUTRI RT 010 RW 002 DESA TAMBI WATUKUMPUL PEMALANG</v>
      </c>
      <c r="D4" s="100"/>
      <c r="E4" s="100"/>
      <c r="F4" s="100"/>
      <c r="G4" s="100"/>
      <c r="H4" s="100"/>
      <c r="I4" s="100"/>
      <c r="J4" s="100"/>
      <c r="K4" s="100"/>
    </row>
    <row r="5" spans="1:12" ht="15" x14ac:dyDescent="0.25">
      <c r="A5" s="3" t="s">
        <v>144</v>
      </c>
      <c r="B5" s="3" t="s">
        <v>25</v>
      </c>
      <c r="C5" s="101" t="str">
        <f>'ISIAN DATA'!G4</f>
        <v>2026-09-23</v>
      </c>
      <c r="D5" s="101"/>
      <c r="E5" s="101"/>
    </row>
    <row r="7" spans="1:12" x14ac:dyDescent="0.2">
      <c r="A7" s="3" t="s">
        <v>150</v>
      </c>
      <c r="E7" s="8" t="s">
        <v>25</v>
      </c>
      <c r="F7" s="3" t="str">
        <f>'ISIAN DATA'!G8</f>
        <v>SAEFULOH</v>
      </c>
    </row>
    <row r="8" spans="1:12" x14ac:dyDescent="0.2">
      <c r="B8" s="3" t="s">
        <v>73</v>
      </c>
      <c r="E8" s="8" t="s">
        <v>25</v>
      </c>
      <c r="F8" s="3" t="str">
        <f>'ISIAN DATA'!G9</f>
        <v>KUNENI</v>
      </c>
    </row>
    <row r="10" spans="1:12" x14ac:dyDescent="0.2">
      <c r="A10" s="3" t="s">
        <v>151</v>
      </c>
      <c r="E10" s="8" t="s">
        <v>25</v>
      </c>
      <c r="F10" s="3" t="str">
        <f>'ISIAN DATA'!G34</f>
        <v>SUSILAH</v>
      </c>
    </row>
    <row r="11" spans="1:12" x14ac:dyDescent="0.2">
      <c r="B11" s="3" t="s">
        <v>78</v>
      </c>
      <c r="E11" s="8" t="s">
        <v>25</v>
      </c>
      <c r="F11" s="3" t="str">
        <f>'ISIAN DATA'!G35</f>
        <v>RUSMAN</v>
      </c>
    </row>
    <row r="13" spans="1:12" x14ac:dyDescent="0.2">
      <c r="A13" s="3" t="s">
        <v>152</v>
      </c>
      <c r="B13" s="3" t="s">
        <v>158</v>
      </c>
      <c r="E13" s="8" t="s">
        <v>25</v>
      </c>
      <c r="F13" s="3" t="str">
        <f>'ISIAN DATA'!G64</f>
        <v>AYAH KANDUNG</v>
      </c>
    </row>
    <row r="14" spans="1:12" x14ac:dyDescent="0.2">
      <c r="C14" s="3" t="s">
        <v>130</v>
      </c>
      <c r="E14" s="8" t="s">
        <v>25</v>
      </c>
      <c r="F14" s="3" t="str">
        <f>'ISIAN DATA'!G58</f>
        <v>RUSMAN</v>
      </c>
    </row>
    <row r="16" spans="1:12" x14ac:dyDescent="0.2">
      <c r="A16" s="3" t="s">
        <v>133</v>
      </c>
      <c r="E16" s="8" t="s">
        <v>25</v>
      </c>
      <c r="F16" s="3" t="s">
        <v>156</v>
      </c>
    </row>
    <row r="17" spans="1:11" x14ac:dyDescent="0.2">
      <c r="F17" s="3" t="s">
        <v>267</v>
      </c>
      <c r="G17" s="3">
        <f>'ISIAN DATA'!G65</f>
        <v>0</v>
      </c>
      <c r="H17" s="3" t="s">
        <v>268</v>
      </c>
      <c r="I17" s="3">
        <f>'ISIAN DATA'!J65</f>
        <v>0</v>
      </c>
      <c r="J17" s="3" t="s">
        <v>269</v>
      </c>
    </row>
    <row r="19" spans="1:11" ht="15" x14ac:dyDescent="0.25">
      <c r="A19" s="5" t="s">
        <v>153</v>
      </c>
    </row>
    <row r="20" spans="1:11" x14ac:dyDescent="0.2">
      <c r="A20" s="3" t="s">
        <v>5</v>
      </c>
      <c r="E20" s="8" t="s">
        <v>25</v>
      </c>
      <c r="F20" s="3" t="str">
        <f>'ISIAN DATA'!G70</f>
        <v>JURI</v>
      </c>
    </row>
    <row r="21" spans="1:11" x14ac:dyDescent="0.2">
      <c r="A21" s="3" t="s">
        <v>118</v>
      </c>
      <c r="E21" s="8" t="s">
        <v>25</v>
      </c>
      <c r="F21" s="3" t="str">
        <f>'ISIAN DATA'!G71</f>
        <v>PEMALANG, 04 MEI 1966</v>
      </c>
    </row>
    <row r="22" spans="1:11" x14ac:dyDescent="0.2">
      <c r="A22" s="3" t="s">
        <v>139</v>
      </c>
      <c r="E22" s="8" t="s">
        <v>25</v>
      </c>
      <c r="F22" s="3" t="str">
        <f>'ISIAN DATA'!G72</f>
        <v>3327040405660002</v>
      </c>
    </row>
    <row r="23" spans="1:11" x14ac:dyDescent="0.2">
      <c r="A23" s="3" t="s">
        <v>12</v>
      </c>
      <c r="E23" s="8" t="s">
        <v>25</v>
      </c>
      <c r="F23" s="3" t="str">
        <f>'ISIAN DATA'!G73</f>
        <v>KEPALA DESA</v>
      </c>
    </row>
    <row r="24" spans="1:11" x14ac:dyDescent="0.2">
      <c r="A24" s="3" t="s">
        <v>13</v>
      </c>
      <c r="E24" s="8" t="s">
        <v>25</v>
      </c>
      <c r="F24" s="83" t="str">
        <f>'ISIAN DATA'!G74</f>
        <v>RT 010 RW 002 DESA TAMBI KECAMATAN WATUKUMPUL KABUPATEN PEMALANG</v>
      </c>
      <c r="G24" s="83"/>
      <c r="H24" s="83"/>
      <c r="I24" s="83"/>
      <c r="J24" s="83"/>
      <c r="K24" s="83"/>
    </row>
    <row r="25" spans="1:11" x14ac:dyDescent="0.2">
      <c r="F25" s="83"/>
      <c r="G25" s="83"/>
      <c r="H25" s="83"/>
      <c r="I25" s="83"/>
      <c r="J25" s="83"/>
      <c r="K25" s="83"/>
    </row>
    <row r="26" spans="1:11" x14ac:dyDescent="0.2">
      <c r="A26" s="3" t="s">
        <v>154</v>
      </c>
    </row>
    <row r="27" spans="1:11" x14ac:dyDescent="0.2">
      <c r="A27" s="3" t="s">
        <v>5</v>
      </c>
      <c r="E27" s="8" t="s">
        <v>25</v>
      </c>
      <c r="F27" s="3" t="str">
        <f>'ISIAN DATA'!G76</f>
        <v>GHOFUR</v>
      </c>
    </row>
    <row r="28" spans="1:11" x14ac:dyDescent="0.2">
      <c r="A28" s="3" t="s">
        <v>118</v>
      </c>
      <c r="E28" s="8" t="s">
        <v>25</v>
      </c>
      <c r="F28" s="3" t="str">
        <f>'ISIAN DATA'!G77</f>
        <v>PURBALINGGA, 10 FEBRUARI 1988</v>
      </c>
    </row>
    <row r="29" spans="1:11" x14ac:dyDescent="0.2">
      <c r="A29" s="3" t="s">
        <v>139</v>
      </c>
      <c r="E29" s="8" t="s">
        <v>25</v>
      </c>
      <c r="F29" s="3" t="str">
        <f>'ISIAN DATA'!G78</f>
        <v>3303171002880003</v>
      </c>
    </row>
    <row r="30" spans="1:11" x14ac:dyDescent="0.2">
      <c r="A30" s="3" t="s">
        <v>12</v>
      </c>
      <c r="E30" s="8" t="s">
        <v>25</v>
      </c>
      <c r="F30" s="3" t="str">
        <f>'ISIAN DATA'!G79</f>
        <v>WIRASWASTA</v>
      </c>
    </row>
    <row r="31" spans="1:11" x14ac:dyDescent="0.2">
      <c r="A31" s="3" t="s">
        <v>13</v>
      </c>
      <c r="E31" s="8" t="s">
        <v>25</v>
      </c>
      <c r="F31" s="83" t="str">
        <f>'ISIAN DATA'!G80</f>
        <v>RT 001 RW 001 DESA JINGKANG KECAMATAN KARANGJAMBU KABUPATEN PURBALINGGA</v>
      </c>
      <c r="G31" s="83"/>
      <c r="H31" s="83"/>
      <c r="I31" s="83"/>
      <c r="J31" s="83"/>
      <c r="K31" s="83"/>
    </row>
    <row r="32" spans="1:11" x14ac:dyDescent="0.2">
      <c r="F32" s="83"/>
      <c r="G32" s="83"/>
      <c r="H32" s="83"/>
      <c r="I32" s="83"/>
      <c r="J32" s="83"/>
      <c r="K32" s="83"/>
    </row>
    <row r="35" spans="1:6" x14ac:dyDescent="0.2">
      <c r="A35" s="3" t="s">
        <v>155</v>
      </c>
      <c r="E35" s="8" t="s">
        <v>25</v>
      </c>
      <c r="F35" s="3" t="s">
        <v>157</v>
      </c>
    </row>
  </sheetData>
  <mergeCells count="5">
    <mergeCell ref="A2:K2"/>
    <mergeCell ref="F24:K25"/>
    <mergeCell ref="F31:K32"/>
    <mergeCell ref="C4:K4"/>
    <mergeCell ref="C5:E5"/>
  </mergeCells>
  <pageMargins left="0.70866141732283472" right="0.70866141732283472" top="0.74803149606299213" bottom="0.74803149606299213" header="0.31496062992125984" footer="0.31496062992125984"/>
  <pageSetup paperSize="169" orientation="portrait" horizontalDpi="4294967293" vertic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view="pageLayout" zoomScale="70" zoomScaleNormal="70" zoomScalePageLayoutView="70" workbookViewId="0">
      <selection activeCell="M1" sqref="M1"/>
    </sheetView>
  </sheetViews>
  <sheetFormatPr defaultRowHeight="14.25" x14ac:dyDescent="0.2"/>
  <cols>
    <col min="1" max="4" width="9.140625" style="3"/>
    <col min="5" max="5" width="3.140625" style="3" customWidth="1"/>
    <col min="6" max="6" width="9.140625" style="3"/>
    <col min="7" max="7" width="4.28515625" style="3" customWidth="1"/>
    <col min="8" max="8" width="9.140625" style="3"/>
    <col min="9" max="9" width="1.7109375" style="3" customWidth="1"/>
    <col min="10" max="16384" width="9.140625" style="3"/>
  </cols>
  <sheetData>
    <row r="1" spans="1:13" x14ac:dyDescent="0.2">
      <c r="M1" s="3" t="str">
        <f>HYPERLINK("#'Isian Data'!A1", "⬅️ Kembali ke Isisan Data")</f>
        <v>⬅️ Kembali ke Isisan Data</v>
      </c>
    </row>
    <row r="2" spans="1:13" ht="15" x14ac:dyDescent="0.25">
      <c r="A2" s="98" t="s">
        <v>160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</row>
    <row r="4" spans="1:13" x14ac:dyDescent="0.2">
      <c r="A4" s="3" t="s">
        <v>36</v>
      </c>
    </row>
    <row r="5" spans="1:13" x14ac:dyDescent="0.2">
      <c r="A5" s="3" t="s">
        <v>254</v>
      </c>
      <c r="G5" s="26" t="s">
        <v>302</v>
      </c>
      <c r="H5" s="26"/>
      <c r="I5" s="26"/>
      <c r="J5" s="26"/>
      <c r="K5" s="26"/>
    </row>
    <row r="6" spans="1:13" x14ac:dyDescent="0.2">
      <c r="A6" s="3" t="s">
        <v>161</v>
      </c>
    </row>
    <row r="7" spans="1:13" x14ac:dyDescent="0.2">
      <c r="B7" s="3" t="s">
        <v>5</v>
      </c>
      <c r="E7" s="8" t="s">
        <v>25</v>
      </c>
      <c r="F7" s="3" t="str">
        <f>'ISIAN DATA'!G34</f>
        <v>SUSILAH</v>
      </c>
    </row>
    <row r="8" spans="1:13" x14ac:dyDescent="0.2">
      <c r="B8" s="3" t="s">
        <v>78</v>
      </c>
      <c r="E8" s="8" t="s">
        <v>25</v>
      </c>
      <c r="F8" s="3" t="str">
        <f>'ISIAN DATA'!G35</f>
        <v>RUSMAN</v>
      </c>
    </row>
    <row r="9" spans="1:13" x14ac:dyDescent="0.2">
      <c r="B9" s="3" t="s">
        <v>118</v>
      </c>
      <c r="E9" s="8" t="s">
        <v>25</v>
      </c>
      <c r="F9" s="3" t="str">
        <f>'ISIAN DATA'!G36</f>
        <v>PEMALANG, 11 SEPTEMBER 1999</v>
      </c>
    </row>
    <row r="10" spans="1:13" x14ac:dyDescent="0.2">
      <c r="B10" s="3" t="s">
        <v>139</v>
      </c>
      <c r="E10" s="8" t="s">
        <v>25</v>
      </c>
      <c r="F10" s="31" t="str">
        <f>'ISIAN DATA'!G37</f>
        <v>3327045109990007</v>
      </c>
    </row>
    <row r="11" spans="1:13" x14ac:dyDescent="0.2">
      <c r="B11" s="3" t="s">
        <v>162</v>
      </c>
      <c r="E11" s="8" t="s">
        <v>25</v>
      </c>
    </row>
    <row r="12" spans="1:13" x14ac:dyDescent="0.2">
      <c r="B12" s="3" t="s">
        <v>12</v>
      </c>
      <c r="E12" s="8" t="s">
        <v>25</v>
      </c>
      <c r="F12" s="3" t="str">
        <f>'ISIAN DATA'!G38</f>
        <v>BELUM/ TIDAK BEKERJA</v>
      </c>
    </row>
    <row r="13" spans="1:13" x14ac:dyDescent="0.2">
      <c r="B13" s="3" t="s">
        <v>13</v>
      </c>
      <c r="E13" s="8" t="s">
        <v>25</v>
      </c>
      <c r="F13" s="83" t="str">
        <f>'ISIAN DATA'!G41</f>
        <v>RT 002 RW 004 DESA TAMBI KECAMATAN WATUKUMPUL KABUPATEN PEMALANG</v>
      </c>
      <c r="G13" s="83"/>
      <c r="H13" s="83"/>
      <c r="I13" s="83"/>
      <c r="J13" s="83"/>
      <c r="K13" s="83"/>
    </row>
    <row r="14" spans="1:13" x14ac:dyDescent="0.2">
      <c r="F14" s="83"/>
      <c r="G14" s="83"/>
      <c r="H14" s="83"/>
      <c r="I14" s="83"/>
      <c r="J14" s="83"/>
      <c r="K14" s="83"/>
    </row>
    <row r="16" spans="1:13" x14ac:dyDescent="0.2">
      <c r="A16" s="3" t="s">
        <v>253</v>
      </c>
      <c r="J16" s="3" t="str">
        <f>'ISIAN DATA'!G45</f>
        <v>RUSMAN</v>
      </c>
    </row>
    <row r="17" spans="1:11" x14ac:dyDescent="0.2">
      <c r="A17" s="3" t="s">
        <v>249</v>
      </c>
    </row>
    <row r="19" spans="1:11" x14ac:dyDescent="0.2">
      <c r="A19" s="3" t="s">
        <v>163</v>
      </c>
    </row>
    <row r="20" spans="1:11" x14ac:dyDescent="0.2">
      <c r="A20" s="3" t="s">
        <v>303</v>
      </c>
    </row>
    <row r="21" spans="1:11" x14ac:dyDescent="0.2">
      <c r="A21" s="3" t="s">
        <v>164</v>
      </c>
    </row>
    <row r="22" spans="1:11" x14ac:dyDescent="0.2">
      <c r="B22" s="3" t="s">
        <v>165</v>
      </c>
      <c r="E22" s="8" t="s">
        <v>25</v>
      </c>
      <c r="F22" s="3" t="s">
        <v>304</v>
      </c>
    </row>
    <row r="23" spans="1:11" x14ac:dyDescent="0.2">
      <c r="B23" s="3" t="s">
        <v>166</v>
      </c>
      <c r="E23" s="8" t="s">
        <v>25</v>
      </c>
      <c r="F23" s="3" t="s">
        <v>305</v>
      </c>
    </row>
    <row r="24" spans="1:11" x14ac:dyDescent="0.2">
      <c r="B24" s="3" t="s">
        <v>149</v>
      </c>
      <c r="E24" s="8" t="s">
        <v>25</v>
      </c>
      <c r="F24" s="83" t="str">
        <f>F13</f>
        <v>RT 002 RW 004 DESA TAMBI KECAMATAN WATUKUMPUL KABUPATEN PEMALANG</v>
      </c>
      <c r="G24" s="83"/>
      <c r="H24" s="83"/>
      <c r="I24" s="83"/>
      <c r="J24" s="83"/>
      <c r="K24" s="83"/>
    </row>
    <row r="25" spans="1:11" x14ac:dyDescent="0.2">
      <c r="F25" s="83"/>
      <c r="G25" s="83"/>
      <c r="H25" s="83"/>
      <c r="I25" s="83"/>
      <c r="J25" s="83"/>
      <c r="K25" s="83"/>
    </row>
    <row r="26" spans="1:11" x14ac:dyDescent="0.2">
      <c r="A26" s="3" t="s">
        <v>167</v>
      </c>
    </row>
    <row r="27" spans="1:11" x14ac:dyDescent="0.2">
      <c r="A27" s="3" t="s">
        <v>168</v>
      </c>
    </row>
    <row r="29" spans="1:11" x14ac:dyDescent="0.2">
      <c r="A29" s="3" t="s">
        <v>169</v>
      </c>
    </row>
    <row r="30" spans="1:11" x14ac:dyDescent="0.2">
      <c r="A30" s="3" t="s">
        <v>170</v>
      </c>
    </row>
    <row r="32" spans="1:11" x14ac:dyDescent="0.2">
      <c r="B32" s="26"/>
      <c r="C32" s="26"/>
      <c r="D32" s="26"/>
      <c r="E32" s="26"/>
      <c r="F32" s="26"/>
      <c r="G32" s="26"/>
      <c r="H32" s="26"/>
      <c r="I32" s="26" t="str">
        <f>'N4 PEREMPUAN'!I36</f>
        <v>TAMBI</v>
      </c>
      <c r="J32" s="26"/>
      <c r="K32" s="26" t="str">
        <f>'N1 LAKI-LAKI'!I47</f>
        <v>, TAMBI, 29 JULI 2026</v>
      </c>
    </row>
    <row r="33" spans="1:12" x14ac:dyDescent="0.2">
      <c r="A33" s="84" t="s">
        <v>171</v>
      </c>
      <c r="B33" s="84"/>
      <c r="C33" s="84"/>
      <c r="D33" s="84"/>
      <c r="E33" s="84"/>
      <c r="F33" s="84"/>
      <c r="G33" s="84"/>
      <c r="H33" s="84"/>
      <c r="I33" s="84"/>
      <c r="J33" s="84"/>
      <c r="K33" s="8"/>
    </row>
    <row r="37" spans="1:12" x14ac:dyDescent="0.2">
      <c r="A37" s="84" t="str">
        <f>F7</f>
        <v>SUSILAH</v>
      </c>
      <c r="B37" s="84"/>
      <c r="C37" s="84"/>
      <c r="D37" s="84"/>
      <c r="E37" s="84"/>
      <c r="F37" s="84"/>
      <c r="G37" s="84"/>
      <c r="H37" s="84"/>
      <c r="I37" s="84"/>
      <c r="J37" s="84"/>
      <c r="K37" s="8"/>
    </row>
    <row r="39" spans="1:12" x14ac:dyDescent="0.2">
      <c r="B39" s="3" t="s">
        <v>250</v>
      </c>
      <c r="J39" s="3" t="s">
        <v>251</v>
      </c>
    </row>
    <row r="43" spans="1:12" x14ac:dyDescent="0.2">
      <c r="B43" s="3" t="str">
        <f>'ISIAN DATA'!G76</f>
        <v>GHOFUR</v>
      </c>
      <c r="J43" s="3" t="str">
        <f>'ISIAN DATA'!G70</f>
        <v>JURI</v>
      </c>
    </row>
    <row r="45" spans="1:12" ht="15" customHeight="1" x14ac:dyDescent="0.2">
      <c r="A45" s="84" t="s">
        <v>252</v>
      </c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</row>
    <row r="46" spans="1:12" ht="15" customHeight="1" x14ac:dyDescent="0.2">
      <c r="A46" s="84" t="s">
        <v>261</v>
      </c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</row>
    <row r="50" spans="1:12" x14ac:dyDescent="0.2">
      <c r="A50" s="84"/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4"/>
    </row>
    <row r="51" spans="1:12" ht="15" customHeight="1" x14ac:dyDescent="0.2">
      <c r="A51" s="84" t="s">
        <v>306</v>
      </c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</row>
  </sheetData>
  <mergeCells count="9">
    <mergeCell ref="A50:L50"/>
    <mergeCell ref="A51:L51"/>
    <mergeCell ref="F13:K14"/>
    <mergeCell ref="F24:K25"/>
    <mergeCell ref="A2:L2"/>
    <mergeCell ref="A45:L45"/>
    <mergeCell ref="A46:L46"/>
    <mergeCell ref="A33:J33"/>
    <mergeCell ref="A37:J37"/>
  </mergeCells>
  <printOptions horizontalCentered="1"/>
  <pageMargins left="0.45866141700000002" right="0.45866141700000002" top="0.74803149606299202" bottom="0.74803149606299202" header="0.31496062992126" footer="0.31496062992126"/>
  <pageSetup paperSize="169" orientation="portrait" horizontalDpi="4294967293" verticalDpi="4294967293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1"/>
  <sheetViews>
    <sheetView showZeros="0" topLeftCell="A19" workbookViewId="0">
      <selection activeCell="F17" sqref="F17"/>
    </sheetView>
  </sheetViews>
  <sheetFormatPr defaultRowHeight="15" x14ac:dyDescent="0.25"/>
  <cols>
    <col min="1" max="1" width="0.28515625" customWidth="1"/>
    <col min="2" max="2" width="3.7109375" customWidth="1"/>
    <col min="4" max="4" width="12.7109375" customWidth="1"/>
    <col min="5" max="5" width="6.85546875" style="1" customWidth="1"/>
    <col min="6" max="6" width="3.5703125" customWidth="1"/>
    <col min="7" max="7" width="3.7109375" customWidth="1"/>
    <col min="8" max="8" width="12.140625" customWidth="1"/>
    <col min="9" max="9" width="7.42578125" customWidth="1"/>
    <col min="10" max="10" width="3.7109375" customWidth="1"/>
    <col min="11" max="11" width="4" customWidth="1"/>
  </cols>
  <sheetData>
    <row r="1" spans="1:15" x14ac:dyDescent="0.25">
      <c r="O1" t="str">
        <f>HYPERLINK("#'Isian Data'!A1", "⬅️ Kembali ke Isisan Data")</f>
        <v>⬅️ Kembali ke Isisan Data</v>
      </c>
    </row>
    <row r="5" spans="1:15" ht="15.75" x14ac:dyDescent="0.25">
      <c r="A5" s="88" t="s">
        <v>0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</row>
    <row r="6" spans="1:15" ht="15.75" x14ac:dyDescent="0.25">
      <c r="A6" s="88" t="s">
        <v>1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</row>
    <row r="7" spans="1:15" ht="15.75" x14ac:dyDescent="0.25">
      <c r="A7" s="88" t="s">
        <v>277</v>
      </c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</row>
    <row r="8" spans="1:15" ht="5.25" customHeight="1" x14ac:dyDescent="0.25"/>
    <row r="9" spans="1:15" x14ac:dyDescent="0.25">
      <c r="A9" s="3" t="s">
        <v>278</v>
      </c>
      <c r="B9" s="3"/>
      <c r="C9" s="3"/>
      <c r="D9" s="3"/>
      <c r="E9" s="8"/>
      <c r="F9" s="3"/>
      <c r="G9" s="3"/>
      <c r="H9" s="3"/>
      <c r="I9" s="3"/>
      <c r="J9" s="3"/>
      <c r="K9" s="3"/>
      <c r="L9" s="3"/>
      <c r="M9" s="3"/>
    </row>
    <row r="10" spans="1:15" ht="8.1" customHeight="1" x14ac:dyDescent="0.25">
      <c r="A10" s="3"/>
      <c r="B10" s="3"/>
      <c r="C10" s="3"/>
      <c r="D10" s="3"/>
      <c r="E10" s="8"/>
      <c r="F10" s="3"/>
      <c r="G10" s="3"/>
      <c r="H10" s="3"/>
      <c r="I10" s="3"/>
      <c r="J10" s="3"/>
      <c r="K10" s="3"/>
      <c r="L10" s="3"/>
      <c r="M10" s="3"/>
    </row>
    <row r="11" spans="1:15" ht="15.75" x14ac:dyDescent="0.25">
      <c r="A11" s="102" t="s">
        <v>197</v>
      </c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</row>
    <row r="12" spans="1:15" x14ac:dyDescent="0.25">
      <c r="A12" s="84" t="str">
        <f>'ISIAN DATA'!G2</f>
        <v>400.12.3.2/007/ VII/ 2026</v>
      </c>
      <c r="B12" s="84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</row>
    <row r="13" spans="1:15" ht="9" customHeight="1" x14ac:dyDescent="0.25">
      <c r="A13" s="3"/>
      <c r="B13" s="3"/>
      <c r="C13" s="3"/>
      <c r="D13" s="3"/>
      <c r="E13" s="8"/>
      <c r="F13" s="3"/>
      <c r="G13" s="3"/>
      <c r="H13" s="3"/>
      <c r="I13" s="3"/>
      <c r="J13" s="3"/>
      <c r="K13" s="3"/>
      <c r="L13" s="3"/>
      <c r="M13" s="3"/>
    </row>
    <row r="14" spans="1:15" x14ac:dyDescent="0.25">
      <c r="A14" s="3" t="s">
        <v>198</v>
      </c>
      <c r="B14" s="3"/>
      <c r="C14" s="3"/>
      <c r="D14" s="3"/>
      <c r="E14" s="8"/>
      <c r="F14" s="3"/>
      <c r="G14" s="3"/>
      <c r="H14" s="3"/>
      <c r="I14" s="3"/>
      <c r="J14" s="3"/>
      <c r="K14" s="3"/>
      <c r="L14" s="3"/>
      <c r="M14" s="3"/>
    </row>
    <row r="15" spans="1:15" ht="9.9499999999999993" customHeight="1" x14ac:dyDescent="0.25">
      <c r="A15" s="3"/>
      <c r="B15" s="3"/>
      <c r="C15" s="3"/>
      <c r="D15" s="3"/>
      <c r="E15" s="8"/>
      <c r="F15" s="3"/>
      <c r="G15" s="3"/>
      <c r="H15" s="3"/>
      <c r="I15" s="3"/>
      <c r="J15" s="3"/>
      <c r="K15" s="3"/>
      <c r="L15" s="3"/>
      <c r="M15" s="3"/>
    </row>
    <row r="16" spans="1:15" x14ac:dyDescent="0.25">
      <c r="A16" s="3">
        <v>1</v>
      </c>
      <c r="B16" s="3" t="s">
        <v>199</v>
      </c>
      <c r="C16" s="3"/>
      <c r="D16" s="3"/>
      <c r="E16" s="8" t="s">
        <v>25</v>
      </c>
      <c r="F16" s="3" t="str">
        <f>'ISIAN DATA'!G8</f>
        <v>SAEFULOH</v>
      </c>
      <c r="G16" s="3"/>
      <c r="H16" s="3"/>
      <c r="I16" s="3"/>
      <c r="J16" s="3"/>
      <c r="K16" s="3"/>
      <c r="L16" s="3"/>
      <c r="M16" s="3"/>
    </row>
    <row r="17" spans="1:13" x14ac:dyDescent="0.25">
      <c r="A17" s="3"/>
      <c r="B17" s="3" t="s">
        <v>139</v>
      </c>
      <c r="C17" s="3"/>
      <c r="D17" s="3"/>
      <c r="E17" s="8" t="s">
        <v>25</v>
      </c>
      <c r="F17" s="31" t="str">
        <f>'ISIAN DATA'!G11</f>
        <v>3303170704000001</v>
      </c>
      <c r="G17" s="3"/>
      <c r="H17" s="3"/>
      <c r="I17" s="3"/>
      <c r="J17" s="3"/>
      <c r="K17" s="3"/>
      <c r="L17" s="3"/>
      <c r="M17" s="3"/>
    </row>
    <row r="18" spans="1:13" x14ac:dyDescent="0.25">
      <c r="A18" s="3"/>
      <c r="B18" s="3" t="s">
        <v>73</v>
      </c>
      <c r="C18" s="3"/>
      <c r="D18" s="3"/>
      <c r="E18" s="8" t="s">
        <v>25</v>
      </c>
      <c r="F18" s="3" t="str">
        <f>'ISIAN DATA'!G9</f>
        <v>KUNENI</v>
      </c>
      <c r="G18" s="3"/>
      <c r="H18" s="3"/>
      <c r="I18" s="3"/>
      <c r="J18" s="3"/>
      <c r="K18" s="3"/>
      <c r="L18" s="3"/>
      <c r="M18" s="3"/>
    </row>
    <row r="19" spans="1:13" x14ac:dyDescent="0.25">
      <c r="A19" s="3"/>
      <c r="B19" s="3" t="s">
        <v>195</v>
      </c>
      <c r="C19" s="3"/>
      <c r="D19" s="3"/>
      <c r="E19" s="8" t="s">
        <v>25</v>
      </c>
      <c r="F19" s="3" t="str">
        <f>'ISIAN DATA'!G10</f>
        <v>PURBALINGGA , 07 APRIL 2000</v>
      </c>
      <c r="G19" s="3"/>
      <c r="H19" s="3"/>
      <c r="I19" s="3"/>
      <c r="J19" s="3"/>
      <c r="K19" s="3"/>
      <c r="L19" s="3"/>
      <c r="M19" s="3"/>
    </row>
    <row r="20" spans="1:13" x14ac:dyDescent="0.25">
      <c r="A20" s="3"/>
      <c r="B20" s="3" t="s">
        <v>200</v>
      </c>
      <c r="C20" s="3"/>
      <c r="D20" s="3"/>
      <c r="E20" s="8" t="s">
        <v>25</v>
      </c>
      <c r="F20" s="3" t="s">
        <v>201</v>
      </c>
      <c r="G20" s="3"/>
      <c r="H20" s="3"/>
      <c r="I20" s="3"/>
      <c r="J20" s="3"/>
      <c r="K20" s="3"/>
      <c r="L20" s="3"/>
      <c r="M20" s="3"/>
    </row>
    <row r="21" spans="1:13" x14ac:dyDescent="0.25">
      <c r="A21" s="3"/>
      <c r="B21" s="3" t="s">
        <v>13</v>
      </c>
      <c r="C21" s="3"/>
      <c r="D21" s="3"/>
      <c r="E21" s="8" t="s">
        <v>25</v>
      </c>
      <c r="F21" s="91" t="str">
        <f>'ISIAN DATA'!G16</f>
        <v>RT 004 RW 001 DESA JINGKANG KECAMATAN KARANGJAMBU KABUPATEN PURBALINGGA</v>
      </c>
      <c r="G21" s="91"/>
      <c r="H21" s="91"/>
      <c r="I21" s="91"/>
      <c r="J21" s="91"/>
      <c r="K21" s="91"/>
      <c r="L21" s="91"/>
      <c r="M21" s="91"/>
    </row>
    <row r="22" spans="1:13" x14ac:dyDescent="0.25">
      <c r="A22" s="3"/>
      <c r="B22" s="3"/>
      <c r="C22" s="3"/>
      <c r="D22" s="3"/>
      <c r="E22" s="8"/>
      <c r="F22" s="91"/>
      <c r="G22" s="91"/>
      <c r="H22" s="91"/>
      <c r="I22" s="91"/>
      <c r="J22" s="91"/>
      <c r="K22" s="91"/>
      <c r="L22" s="91"/>
      <c r="M22" s="91"/>
    </row>
    <row r="23" spans="1:13" ht="9" customHeight="1" x14ac:dyDescent="0.25">
      <c r="A23" s="3"/>
      <c r="B23" s="3"/>
      <c r="C23" s="3"/>
      <c r="D23" s="3"/>
      <c r="E23" s="8"/>
      <c r="F23" s="21"/>
      <c r="G23" s="21"/>
      <c r="H23" s="21"/>
      <c r="I23" s="21"/>
      <c r="J23" s="21"/>
      <c r="K23" s="21"/>
      <c r="L23" s="21"/>
      <c r="M23" s="21"/>
    </row>
    <row r="24" spans="1:13" x14ac:dyDescent="0.25">
      <c r="A24" s="3">
        <v>2</v>
      </c>
      <c r="B24" s="3" t="s">
        <v>202</v>
      </c>
      <c r="C24" s="3"/>
      <c r="D24" s="3"/>
      <c r="E24" s="8" t="s">
        <v>25</v>
      </c>
      <c r="F24" s="3" t="str">
        <f>'ISIAN DATA'!G34</f>
        <v>SUSILAH</v>
      </c>
      <c r="G24" s="3"/>
      <c r="H24" s="3"/>
      <c r="I24" s="3"/>
      <c r="J24" s="3"/>
      <c r="K24" s="3"/>
      <c r="L24" s="3"/>
      <c r="M24" s="3"/>
    </row>
    <row r="25" spans="1:13" x14ac:dyDescent="0.25">
      <c r="A25" s="3"/>
      <c r="B25" s="3" t="s">
        <v>139</v>
      </c>
      <c r="C25" s="3"/>
      <c r="D25" s="3"/>
      <c r="E25" s="8" t="s">
        <v>25</v>
      </c>
      <c r="F25" s="31" t="str">
        <f>'ISIAN DATA'!G37</f>
        <v>3327045109990007</v>
      </c>
      <c r="G25" s="3"/>
      <c r="H25" s="3"/>
      <c r="I25" s="3"/>
      <c r="J25" s="3"/>
      <c r="K25" s="3"/>
      <c r="L25" s="3"/>
      <c r="M25" s="3"/>
    </row>
    <row r="26" spans="1:13" x14ac:dyDescent="0.25">
      <c r="A26" s="3"/>
      <c r="B26" s="3" t="s">
        <v>78</v>
      </c>
      <c r="C26" s="3"/>
      <c r="D26" s="3"/>
      <c r="E26" s="8" t="s">
        <v>25</v>
      </c>
      <c r="F26" s="3" t="str">
        <f>'ISIAN DATA'!G35</f>
        <v>RUSMAN</v>
      </c>
      <c r="G26" s="3"/>
      <c r="H26" s="3"/>
      <c r="I26" s="3"/>
      <c r="J26" s="3"/>
      <c r="K26" s="3"/>
      <c r="L26" s="3"/>
      <c r="M26" s="3"/>
    </row>
    <row r="27" spans="1:13" x14ac:dyDescent="0.25">
      <c r="A27" s="3"/>
      <c r="B27" s="3" t="s">
        <v>195</v>
      </c>
      <c r="C27" s="3"/>
      <c r="D27" s="3"/>
      <c r="E27" s="8" t="s">
        <v>25</v>
      </c>
      <c r="F27" s="3" t="str">
        <f>'ISIAN DATA'!G36</f>
        <v>PEMALANG, 11 SEPTEMBER 1999</v>
      </c>
      <c r="G27" s="3"/>
      <c r="H27" s="3"/>
      <c r="I27" s="3"/>
      <c r="J27" s="3"/>
      <c r="K27" s="3"/>
      <c r="L27" s="3"/>
      <c r="M27" s="3"/>
    </row>
    <row r="28" spans="1:13" x14ac:dyDescent="0.25">
      <c r="A28" s="3"/>
      <c r="B28" s="3" t="s">
        <v>200</v>
      </c>
      <c r="C28" s="3"/>
      <c r="D28" s="3"/>
      <c r="E28" s="8" t="s">
        <v>25</v>
      </c>
      <c r="F28" s="3" t="s">
        <v>201</v>
      </c>
      <c r="G28" s="3"/>
      <c r="H28" s="3"/>
      <c r="I28" s="3"/>
      <c r="J28" s="3"/>
      <c r="K28" s="3"/>
      <c r="L28" s="3"/>
      <c r="M28" s="3"/>
    </row>
    <row r="29" spans="1:13" ht="15" customHeight="1" x14ac:dyDescent="0.25">
      <c r="A29" s="3"/>
      <c r="B29" s="3" t="s">
        <v>13</v>
      </c>
      <c r="C29" s="3"/>
      <c r="D29" s="3"/>
      <c r="E29" s="8" t="s">
        <v>25</v>
      </c>
      <c r="F29" s="83" t="str">
        <f>'ISIAN DATA'!G41</f>
        <v>RT 002 RW 004 DESA TAMBI KECAMATAN WATUKUMPUL KABUPATEN PEMALANG</v>
      </c>
      <c r="G29" s="83"/>
      <c r="H29" s="83"/>
      <c r="I29" s="83"/>
      <c r="J29" s="83"/>
      <c r="K29" s="83"/>
      <c r="L29" s="83"/>
      <c r="M29" s="83"/>
    </row>
    <row r="30" spans="1:13" ht="15" customHeight="1" x14ac:dyDescent="0.25">
      <c r="A30" s="3"/>
      <c r="B30" s="3"/>
      <c r="C30" s="3"/>
      <c r="D30" s="3"/>
      <c r="E30" s="8"/>
      <c r="F30" s="83"/>
      <c r="G30" s="83"/>
      <c r="H30" s="83"/>
      <c r="I30" s="83"/>
      <c r="J30" s="83"/>
      <c r="K30" s="83"/>
      <c r="L30" s="83"/>
      <c r="M30" s="83"/>
    </row>
    <row r="31" spans="1:13" ht="9.9499999999999993" customHeight="1" x14ac:dyDescent="0.25">
      <c r="A31" s="3"/>
      <c r="B31" s="3"/>
      <c r="C31" s="3"/>
      <c r="D31" s="3"/>
      <c r="E31" s="8"/>
      <c r="F31" s="9"/>
      <c r="G31" s="9"/>
      <c r="H31" s="9"/>
      <c r="I31" s="9"/>
      <c r="J31" s="9"/>
      <c r="K31" s="9"/>
      <c r="L31" s="9"/>
      <c r="M31" s="9"/>
    </row>
    <row r="32" spans="1:13" x14ac:dyDescent="0.25">
      <c r="A32" s="3" t="s">
        <v>203</v>
      </c>
      <c r="B32" s="3" t="s">
        <v>204</v>
      </c>
      <c r="C32" s="3"/>
      <c r="D32" s="3"/>
      <c r="E32" s="8"/>
      <c r="F32" s="3"/>
      <c r="G32" s="3"/>
      <c r="H32" s="81" t="str">
        <f>'ISIAN DATA'!G4</f>
        <v>2026-09-23</v>
      </c>
      <c r="I32" s="3"/>
      <c r="J32" s="82" t="s">
        <v>205</v>
      </c>
      <c r="K32" s="82"/>
      <c r="L32" s="82"/>
      <c r="M32" s="82"/>
    </row>
    <row r="33" spans="1:13" ht="9.9499999999999993" customHeight="1" x14ac:dyDescent="0.25">
      <c r="A33" s="3" t="s">
        <v>172</v>
      </c>
      <c r="B33" s="3"/>
      <c r="C33" s="3"/>
      <c r="D33" s="3"/>
      <c r="E33" s="8"/>
      <c r="F33" s="3"/>
      <c r="G33" s="3"/>
      <c r="H33" s="3"/>
      <c r="I33" s="3"/>
      <c r="J33" s="3"/>
      <c r="K33" s="3"/>
      <c r="L33" s="3"/>
      <c r="M33" s="3"/>
    </row>
    <row r="34" spans="1:13" x14ac:dyDescent="0.25">
      <c r="A34" s="3" t="s">
        <v>71</v>
      </c>
      <c r="B34" s="3" t="s">
        <v>206</v>
      </c>
      <c r="C34" s="3"/>
      <c r="D34" s="3"/>
      <c r="E34" s="8" t="s">
        <v>172</v>
      </c>
      <c r="F34" s="3"/>
      <c r="G34" s="3"/>
      <c r="H34" s="3"/>
      <c r="I34" s="3"/>
      <c r="J34" s="3"/>
      <c r="K34" s="3"/>
      <c r="L34" s="3"/>
      <c r="M34" s="3"/>
    </row>
    <row r="35" spans="1:13" ht="15" customHeight="1" x14ac:dyDescent="0.25">
      <c r="A35" s="3"/>
      <c r="B35" s="3" t="s">
        <v>130</v>
      </c>
      <c r="C35" s="3"/>
      <c r="D35" s="3"/>
      <c r="E35" s="8" t="s">
        <v>25</v>
      </c>
      <c r="F35" s="3" t="str">
        <f>'ISIAN DATA'!G58</f>
        <v>RUSMAN</v>
      </c>
      <c r="G35" s="3"/>
      <c r="H35" s="3"/>
      <c r="I35" s="3"/>
      <c r="J35" s="3"/>
      <c r="K35" s="3"/>
      <c r="L35" s="3"/>
      <c r="M35" s="3"/>
    </row>
    <row r="36" spans="1:13" ht="15" customHeight="1" x14ac:dyDescent="0.25">
      <c r="A36" s="3"/>
      <c r="B36" s="3" t="s">
        <v>179</v>
      </c>
      <c r="C36" s="3"/>
      <c r="D36" s="3"/>
      <c r="E36" s="8" t="s">
        <v>25</v>
      </c>
      <c r="F36" s="3" t="str">
        <f>'ISIAN DATA'!G59</f>
        <v>MARTA</v>
      </c>
      <c r="G36" s="3"/>
      <c r="H36" s="3"/>
      <c r="I36" s="3"/>
      <c r="J36" s="3"/>
      <c r="K36" s="3"/>
      <c r="L36" s="3"/>
      <c r="M36" s="3"/>
    </row>
    <row r="37" spans="1:13" x14ac:dyDescent="0.25">
      <c r="A37" s="3"/>
      <c r="B37" s="3" t="s">
        <v>195</v>
      </c>
      <c r="C37" s="3"/>
      <c r="D37" s="3"/>
      <c r="E37" s="8" t="s">
        <v>25</v>
      </c>
      <c r="F37" s="3" t="str">
        <f>'ISIAN DATA'!G61</f>
        <v>PEMALANG, 01 JULI 1974</v>
      </c>
      <c r="G37" s="3"/>
      <c r="H37" s="3"/>
      <c r="I37" s="3"/>
      <c r="J37" s="3"/>
      <c r="K37" s="3"/>
      <c r="L37" s="3"/>
      <c r="M37" s="3"/>
    </row>
    <row r="38" spans="1:13" x14ac:dyDescent="0.25">
      <c r="A38" s="3"/>
      <c r="B38" s="3" t="s">
        <v>139</v>
      </c>
      <c r="C38" s="3"/>
      <c r="D38" s="3"/>
      <c r="E38" s="8" t="s">
        <v>25</v>
      </c>
      <c r="F38" s="31" t="str">
        <f>'ISIAN DATA'!G60</f>
        <v>3327040107740063</v>
      </c>
      <c r="G38" s="3"/>
      <c r="H38" s="3"/>
      <c r="I38" s="3"/>
      <c r="J38" s="3"/>
      <c r="K38" s="3"/>
      <c r="L38" s="3"/>
      <c r="M38" s="3"/>
    </row>
    <row r="39" spans="1:13" x14ac:dyDescent="0.25">
      <c r="A39" s="3"/>
      <c r="B39" s="3" t="s">
        <v>200</v>
      </c>
      <c r="C39" s="3"/>
      <c r="D39" s="3"/>
      <c r="E39" s="8" t="s">
        <v>25</v>
      </c>
      <c r="F39" s="3" t="s">
        <v>207</v>
      </c>
      <c r="G39" s="3"/>
      <c r="H39" s="3"/>
      <c r="I39" s="3"/>
      <c r="J39" s="3"/>
      <c r="K39" s="3"/>
      <c r="L39" s="3"/>
      <c r="M39" s="3"/>
    </row>
    <row r="40" spans="1:13" x14ac:dyDescent="0.25">
      <c r="A40" s="3"/>
      <c r="B40" s="3" t="s">
        <v>12</v>
      </c>
      <c r="C40" s="3"/>
      <c r="D40" s="3"/>
      <c r="E40" s="8" t="s">
        <v>25</v>
      </c>
      <c r="F40" s="3" t="str">
        <f>'ISIAN DATA'!G62</f>
        <v>PETANI/ PEKEBUN</v>
      </c>
      <c r="G40" s="3"/>
      <c r="H40" s="3"/>
      <c r="I40" s="3"/>
      <c r="J40" s="3"/>
      <c r="K40" s="3"/>
      <c r="L40" s="3"/>
      <c r="M40" s="3"/>
    </row>
    <row r="41" spans="1:13" ht="15" customHeight="1" x14ac:dyDescent="0.25">
      <c r="A41" s="3"/>
      <c r="B41" s="3" t="s">
        <v>13</v>
      </c>
      <c r="C41" s="3"/>
      <c r="D41" s="3"/>
      <c r="E41" s="8" t="s">
        <v>25</v>
      </c>
      <c r="F41" s="83" t="str">
        <f>'ISIAN DATA'!G63</f>
        <v>RT 002 RW 004 DESA TAMBI KECAMATAN WATUKUMPUL KABUPATEN PEMALANG</v>
      </c>
      <c r="G41" s="83"/>
      <c r="H41" s="83"/>
      <c r="I41" s="83"/>
      <c r="J41" s="83"/>
      <c r="K41" s="83"/>
      <c r="L41" s="83"/>
      <c r="M41" s="83"/>
    </row>
    <row r="42" spans="1:13" x14ac:dyDescent="0.25">
      <c r="A42" s="3"/>
      <c r="B42" s="3"/>
      <c r="C42" s="3"/>
      <c r="D42" s="3"/>
      <c r="E42" s="8"/>
      <c r="F42" s="83"/>
      <c r="G42" s="83"/>
      <c r="H42" s="83"/>
      <c r="I42" s="83"/>
      <c r="J42" s="83"/>
      <c r="K42" s="83"/>
      <c r="L42" s="83"/>
      <c r="M42" s="83"/>
    </row>
    <row r="43" spans="1:13" x14ac:dyDescent="0.25">
      <c r="A43" s="3"/>
      <c r="B43" s="3" t="s">
        <v>208</v>
      </c>
      <c r="C43" s="3"/>
      <c r="D43" s="3"/>
      <c r="E43" s="8" t="s">
        <v>25</v>
      </c>
      <c r="F43" s="82" t="str">
        <f>'ISIAN DATA'!G64</f>
        <v>AYAH KANDUNG</v>
      </c>
      <c r="G43" s="82"/>
      <c r="H43" s="82"/>
      <c r="I43" s="82"/>
      <c r="J43" s="21"/>
      <c r="K43" s="21"/>
      <c r="L43" s="21"/>
      <c r="M43" s="21"/>
    </row>
    <row r="44" spans="1:13" ht="9" customHeight="1" x14ac:dyDescent="0.25">
      <c r="A44" s="3"/>
      <c r="B44" s="3"/>
      <c r="C44" s="3"/>
      <c r="D44" s="3"/>
      <c r="E44" s="8"/>
      <c r="F44" s="9"/>
      <c r="G44" s="9"/>
      <c r="H44" s="9"/>
      <c r="I44" s="9"/>
      <c r="J44" s="21"/>
      <c r="K44" s="21"/>
      <c r="L44" s="21"/>
      <c r="M44" s="21"/>
    </row>
    <row r="45" spans="1:13" x14ac:dyDescent="0.25">
      <c r="A45" s="3"/>
      <c r="B45" s="10">
        <v>1</v>
      </c>
      <c r="C45" s="10" t="s">
        <v>209</v>
      </c>
      <c r="D45" s="10"/>
      <c r="E45" s="22">
        <v>8</v>
      </c>
      <c r="F45" s="10" t="s">
        <v>210</v>
      </c>
      <c r="G45" s="10"/>
      <c r="H45" s="10"/>
      <c r="I45" s="10">
        <v>15</v>
      </c>
      <c r="J45" s="10" t="s">
        <v>211</v>
      </c>
      <c r="K45" s="10"/>
      <c r="L45" s="10"/>
      <c r="M45" s="23"/>
    </row>
    <row r="46" spans="1:13" x14ac:dyDescent="0.25">
      <c r="A46" s="3"/>
      <c r="B46" s="10">
        <v>2</v>
      </c>
      <c r="C46" s="10" t="s">
        <v>212</v>
      </c>
      <c r="D46" s="10"/>
      <c r="E46" s="22">
        <v>9</v>
      </c>
      <c r="F46" s="10" t="s">
        <v>213</v>
      </c>
      <c r="G46" s="10"/>
      <c r="H46" s="10"/>
      <c r="I46" s="10">
        <v>16</v>
      </c>
      <c r="J46" s="10" t="s">
        <v>214</v>
      </c>
      <c r="K46" s="10"/>
      <c r="L46" s="10"/>
      <c r="M46" s="23"/>
    </row>
    <row r="47" spans="1:13" x14ac:dyDescent="0.25">
      <c r="A47" s="3"/>
      <c r="B47" s="10">
        <v>3</v>
      </c>
      <c r="C47" s="10" t="s">
        <v>215</v>
      </c>
      <c r="D47" s="10"/>
      <c r="E47" s="22">
        <v>10</v>
      </c>
      <c r="F47" s="10" t="s">
        <v>216</v>
      </c>
      <c r="G47" s="10"/>
      <c r="H47" s="10"/>
      <c r="I47" s="10">
        <v>17</v>
      </c>
      <c r="J47" s="10" t="s">
        <v>217</v>
      </c>
      <c r="K47" s="10"/>
      <c r="L47" s="10"/>
      <c r="M47" s="23"/>
    </row>
    <row r="48" spans="1:13" x14ac:dyDescent="0.25">
      <c r="A48" s="3"/>
      <c r="B48" s="10">
        <v>4</v>
      </c>
      <c r="C48" s="10" t="s">
        <v>196</v>
      </c>
      <c r="D48" s="10"/>
      <c r="E48" s="22">
        <v>11</v>
      </c>
      <c r="F48" s="10" t="s">
        <v>218</v>
      </c>
      <c r="G48" s="10"/>
      <c r="H48" s="10"/>
      <c r="I48" s="10">
        <v>18</v>
      </c>
      <c r="J48" s="10" t="s">
        <v>219</v>
      </c>
      <c r="K48" s="10"/>
      <c r="L48" s="10"/>
      <c r="M48" s="23"/>
    </row>
    <row r="49" spans="1:14" x14ac:dyDescent="0.25">
      <c r="A49" s="3"/>
      <c r="B49" s="10">
        <v>5</v>
      </c>
      <c r="C49" s="10" t="s">
        <v>220</v>
      </c>
      <c r="D49" s="10"/>
      <c r="E49" s="22">
        <v>12</v>
      </c>
      <c r="F49" s="10" t="s">
        <v>221</v>
      </c>
      <c r="G49" s="10"/>
      <c r="H49" s="10"/>
      <c r="I49" s="10">
        <v>19</v>
      </c>
      <c r="J49" s="10" t="s">
        <v>222</v>
      </c>
      <c r="K49" s="10"/>
      <c r="L49" s="10"/>
      <c r="M49" s="23"/>
    </row>
    <row r="50" spans="1:14" x14ac:dyDescent="0.25">
      <c r="A50" s="3"/>
      <c r="B50" s="10">
        <v>6</v>
      </c>
      <c r="C50" s="10" t="s">
        <v>223</v>
      </c>
      <c r="D50" s="10"/>
      <c r="E50" s="22">
        <v>13</v>
      </c>
      <c r="F50" s="10" t="s">
        <v>224</v>
      </c>
      <c r="G50" s="10"/>
      <c r="H50" s="10"/>
      <c r="I50" s="10">
        <v>20</v>
      </c>
      <c r="J50" s="10" t="s">
        <v>225</v>
      </c>
      <c r="K50" s="10"/>
      <c r="L50" s="10"/>
      <c r="M50" s="23"/>
    </row>
    <row r="51" spans="1:14" x14ac:dyDescent="0.25">
      <c r="A51" s="3"/>
      <c r="B51" s="10">
        <v>7</v>
      </c>
      <c r="C51" s="10" t="s">
        <v>226</v>
      </c>
      <c r="D51" s="10"/>
      <c r="E51" s="22">
        <v>14</v>
      </c>
      <c r="F51" s="10" t="s">
        <v>227</v>
      </c>
      <c r="G51" s="10"/>
      <c r="H51" s="10"/>
      <c r="I51" s="10">
        <v>21</v>
      </c>
      <c r="J51" s="10" t="s">
        <v>228</v>
      </c>
      <c r="K51" s="10"/>
      <c r="L51" s="10"/>
      <c r="M51" s="23"/>
    </row>
    <row r="52" spans="1:14" ht="8.25" customHeight="1" x14ac:dyDescent="0.25">
      <c r="A52" s="3"/>
      <c r="B52" s="3"/>
      <c r="C52" s="3"/>
      <c r="D52" s="3"/>
      <c r="E52" s="8"/>
      <c r="F52" s="3"/>
      <c r="G52" s="3"/>
      <c r="H52" s="3"/>
      <c r="I52" s="3"/>
      <c r="J52" s="3"/>
      <c r="K52" s="3"/>
      <c r="L52" s="3"/>
    </row>
    <row r="53" spans="1:14" ht="15" customHeight="1" x14ac:dyDescent="0.25">
      <c r="A53" s="83" t="s">
        <v>229</v>
      </c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7"/>
    </row>
    <row r="54" spans="1:14" x14ac:dyDescent="0.25">
      <c r="A54" s="83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7"/>
    </row>
    <row r="55" spans="1:14" ht="9" customHeight="1" x14ac:dyDescent="0.25">
      <c r="A55" s="3"/>
      <c r="B55" s="3"/>
      <c r="C55" s="3"/>
      <c r="D55" s="3"/>
      <c r="E55" s="8"/>
      <c r="F55" s="3"/>
      <c r="G55" s="3"/>
      <c r="H55" s="3"/>
      <c r="I55" s="3"/>
      <c r="J55" s="3"/>
      <c r="K55" s="3"/>
      <c r="L55" s="3"/>
      <c r="M55" s="3"/>
    </row>
    <row r="56" spans="1:14" x14ac:dyDescent="0.25">
      <c r="A56" s="3" t="s">
        <v>172</v>
      </c>
      <c r="B56" s="3"/>
      <c r="C56" s="3"/>
      <c r="D56" s="3"/>
      <c r="E56" s="8"/>
      <c r="F56" s="3"/>
      <c r="G56" s="3"/>
      <c r="H56" s="3"/>
      <c r="J56" s="26" t="str">
        <f>'N4 PEREMPUAN'!I36</f>
        <v>TAMBI</v>
      </c>
      <c r="L56" s="26" t="str">
        <f>'N4 PEREMPUAN'!J36</f>
        <v>, TAMBI, 29 JULI 2026</v>
      </c>
      <c r="M56" s="26"/>
    </row>
    <row r="57" spans="1:14" x14ac:dyDescent="0.25">
      <c r="A57" s="3" t="s">
        <v>230</v>
      </c>
      <c r="B57" s="3" t="s">
        <v>172</v>
      </c>
      <c r="C57" s="3" t="s">
        <v>172</v>
      </c>
      <c r="D57" s="3"/>
      <c r="E57" s="8"/>
      <c r="F57" s="3"/>
      <c r="G57" s="3"/>
      <c r="H57" s="3"/>
      <c r="I57" s="84" t="str">
        <f>'N1 LAKI-LAKI'!G48</f>
        <v>Kepala Desa Tambi</v>
      </c>
      <c r="J57" s="84"/>
      <c r="K57" s="84"/>
      <c r="L57" s="84"/>
      <c r="M57" s="84"/>
    </row>
    <row r="58" spans="1:14" x14ac:dyDescent="0.25">
      <c r="A58" s="3"/>
      <c r="B58" s="3"/>
      <c r="C58" s="3"/>
      <c r="D58" s="3"/>
      <c r="E58" s="8"/>
      <c r="F58" s="3"/>
      <c r="G58" s="3"/>
      <c r="H58" s="3"/>
      <c r="I58" s="3"/>
      <c r="J58" s="3"/>
      <c r="K58" s="3"/>
      <c r="L58" s="3"/>
      <c r="M58" s="3"/>
    </row>
    <row r="59" spans="1:14" x14ac:dyDescent="0.25">
      <c r="A59" s="3"/>
      <c r="B59" s="3"/>
      <c r="C59" s="3"/>
      <c r="D59" s="3"/>
      <c r="E59" s="8"/>
      <c r="F59" s="3"/>
      <c r="G59" s="3"/>
      <c r="H59" s="3"/>
      <c r="I59" s="3"/>
      <c r="J59" s="3"/>
      <c r="K59" s="3"/>
      <c r="L59" s="3"/>
      <c r="M59" s="3"/>
    </row>
    <row r="60" spans="1:14" x14ac:dyDescent="0.25">
      <c r="A60" s="3"/>
      <c r="B60" s="3"/>
      <c r="C60" s="3"/>
      <c r="D60" s="3"/>
      <c r="E60" s="8"/>
      <c r="F60" s="3"/>
      <c r="G60" s="3"/>
      <c r="H60" s="3"/>
      <c r="I60" s="3"/>
      <c r="J60" s="3"/>
      <c r="K60" s="3"/>
      <c r="L60" s="3"/>
      <c r="M60" s="3"/>
    </row>
    <row r="61" spans="1:14" x14ac:dyDescent="0.25">
      <c r="A61" s="3"/>
      <c r="B61" s="3"/>
      <c r="C61" s="3"/>
      <c r="D61" s="3"/>
      <c r="E61" s="8"/>
      <c r="F61" s="3"/>
      <c r="G61" s="3"/>
      <c r="H61" s="3"/>
      <c r="I61" s="103" t="str">
        <f>'N1 LAKI-LAKI'!G52</f>
        <v>J U R I</v>
      </c>
      <c r="J61" s="103"/>
      <c r="K61" s="103"/>
      <c r="L61" s="103"/>
      <c r="M61" s="103"/>
    </row>
  </sheetData>
  <mergeCells count="13">
    <mergeCell ref="I57:M57"/>
    <mergeCell ref="I61:M61"/>
    <mergeCell ref="F29:M30"/>
    <mergeCell ref="J32:M32"/>
    <mergeCell ref="F41:M42"/>
    <mergeCell ref="F43:I43"/>
    <mergeCell ref="A53:M54"/>
    <mergeCell ref="F21:M22"/>
    <mergeCell ref="A5:M5"/>
    <mergeCell ref="A6:M6"/>
    <mergeCell ref="A7:M7"/>
    <mergeCell ref="A11:M11"/>
    <mergeCell ref="A12:M12"/>
  </mergeCells>
  <pageMargins left="0.7" right="0.7" top="0.75" bottom="0.75" header="0.3" footer="0.3"/>
  <pageSetup paperSize="169" scale="99" orientation="portrait" horizontalDpi="4294967293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view="pageLayout" topLeftCell="A25" zoomScaleNormal="100" workbookViewId="0">
      <selection activeCell="E28" sqref="E28"/>
    </sheetView>
  </sheetViews>
  <sheetFormatPr defaultRowHeight="14.25" x14ac:dyDescent="0.2"/>
  <cols>
    <col min="1" max="1" width="13" style="3" customWidth="1"/>
    <col min="2" max="2" width="17" style="3" customWidth="1"/>
    <col min="3" max="4" width="9.140625" style="3"/>
    <col min="5" max="5" width="3.5703125" style="3" customWidth="1"/>
    <col min="6" max="6" width="10.140625" style="3" customWidth="1"/>
    <col min="7" max="7" width="6.5703125" style="3" customWidth="1"/>
    <col min="8" max="8" width="12.140625" style="3" customWidth="1"/>
    <col min="9" max="9" width="6.85546875" style="3" customWidth="1"/>
    <col min="10" max="16384" width="9.140625" style="3"/>
  </cols>
  <sheetData>
    <row r="1" spans="1:11" x14ac:dyDescent="0.2">
      <c r="J1" s="3" t="str">
        <f>HYPERLINK("#'Isian Data'!A1", "⬅️ Kembali ke Isisan Data")</f>
        <v>⬅️ Kembali ke Isisan Data</v>
      </c>
    </row>
    <row r="4" spans="1:11" ht="15" x14ac:dyDescent="0.2">
      <c r="A4" s="106" t="s">
        <v>0</v>
      </c>
      <c r="B4" s="106"/>
      <c r="C4" s="106"/>
      <c r="D4" s="106"/>
      <c r="E4" s="106"/>
      <c r="F4" s="106"/>
      <c r="G4" s="106"/>
      <c r="H4" s="106"/>
      <c r="I4" s="106"/>
      <c r="J4" s="25"/>
      <c r="K4" s="25"/>
    </row>
    <row r="5" spans="1:11" ht="15" x14ac:dyDescent="0.2">
      <c r="A5" s="106" t="s">
        <v>1</v>
      </c>
      <c r="B5" s="106"/>
      <c r="C5" s="106"/>
      <c r="D5" s="106"/>
      <c r="E5" s="106"/>
      <c r="F5" s="106"/>
      <c r="G5" s="106"/>
      <c r="H5" s="106"/>
      <c r="I5" s="106"/>
      <c r="J5" s="25"/>
      <c r="K5" s="25"/>
    </row>
    <row r="6" spans="1:11" ht="15" x14ac:dyDescent="0.2">
      <c r="A6" s="107" t="s">
        <v>247</v>
      </c>
      <c r="B6" s="107"/>
      <c r="C6" s="107"/>
      <c r="D6" s="107"/>
      <c r="E6" s="26" t="s">
        <v>256</v>
      </c>
      <c r="F6" s="26"/>
      <c r="G6" s="26"/>
      <c r="H6" s="26"/>
      <c r="I6" s="26"/>
    </row>
    <row r="7" spans="1:11" x14ac:dyDescent="0.2">
      <c r="A7" s="24" t="s">
        <v>282</v>
      </c>
      <c r="B7" s="3" t="str">
        <f>'ISIAN DATA'!H3</f>
        <v>, TAMBI, 29 JULI 2026</v>
      </c>
    </row>
    <row r="8" spans="1:11" x14ac:dyDescent="0.2">
      <c r="A8" s="24"/>
    </row>
    <row r="9" spans="1:11" x14ac:dyDescent="0.2">
      <c r="A9" s="41" t="s">
        <v>231</v>
      </c>
      <c r="B9" s="38" t="str">
        <f>'ISIAN DATA'!G2</f>
        <v>400.12.3.2/007/ VII/ 2026</v>
      </c>
    </row>
    <row r="10" spans="1:11" x14ac:dyDescent="0.2">
      <c r="A10" s="41" t="s">
        <v>232</v>
      </c>
      <c r="B10" s="38" t="s">
        <v>279</v>
      </c>
    </row>
    <row r="11" spans="1:11" x14ac:dyDescent="0.2">
      <c r="A11" s="41" t="s">
        <v>233</v>
      </c>
      <c r="B11" s="38">
        <v>1</v>
      </c>
    </row>
    <row r="12" spans="1:11" x14ac:dyDescent="0.2">
      <c r="A12" s="41" t="s">
        <v>31</v>
      </c>
      <c r="B12" s="38" t="s">
        <v>280</v>
      </c>
    </row>
    <row r="14" spans="1:11" x14ac:dyDescent="0.2">
      <c r="A14" s="3" t="s">
        <v>248</v>
      </c>
      <c r="E14" s="3" t="s">
        <v>282</v>
      </c>
    </row>
    <row r="15" spans="1:11" x14ac:dyDescent="0.2">
      <c r="A15" s="3" t="s">
        <v>239</v>
      </c>
      <c r="B15" s="3" t="str">
        <f>'ISIAN DATA'!G2</f>
        <v>400.12.3.2/007/ VII/ 2026</v>
      </c>
      <c r="D15" s="26" t="s">
        <v>281</v>
      </c>
      <c r="E15" s="38" t="str">
        <f>'ISIAN DATA'!H3</f>
        <v>, TAMBI, 29 JULI 2026</v>
      </c>
      <c r="G15" s="82" t="s">
        <v>283</v>
      </c>
      <c r="H15" s="82"/>
      <c r="I15" s="82"/>
    </row>
    <row r="16" spans="1:11" x14ac:dyDescent="0.2">
      <c r="A16" s="3" t="s">
        <v>284</v>
      </c>
      <c r="D16" s="26"/>
      <c r="E16" s="38"/>
    </row>
    <row r="18" spans="1:9" x14ac:dyDescent="0.2">
      <c r="A18" s="40" t="s">
        <v>5</v>
      </c>
      <c r="B18" s="3" t="str">
        <f>'ISIAN DATA'!G34</f>
        <v>SUSILAH</v>
      </c>
    </row>
    <row r="19" spans="1:9" x14ac:dyDescent="0.2">
      <c r="A19" s="40" t="s">
        <v>234</v>
      </c>
      <c r="B19" s="38">
        <f>'ISIAN DATA'!K36</f>
        <v>27</v>
      </c>
    </row>
    <row r="20" spans="1:9" x14ac:dyDescent="0.2">
      <c r="A20" s="40" t="s">
        <v>12</v>
      </c>
      <c r="B20" s="3" t="str">
        <f>'ISIAN DATA'!G38</f>
        <v>BELUM/ TIDAK BEKERJA</v>
      </c>
    </row>
    <row r="21" spans="1:9" x14ac:dyDescent="0.2">
      <c r="A21" s="40" t="s">
        <v>13</v>
      </c>
      <c r="B21" s="83" t="str">
        <f>'ISIAN DATA'!G41</f>
        <v>RT 002 RW 004 DESA TAMBI KECAMATAN WATUKUMPUL KABUPATEN PEMALANG</v>
      </c>
      <c r="C21" s="83"/>
      <c r="D21" s="83"/>
      <c r="E21" s="83"/>
      <c r="F21" s="83"/>
      <c r="G21" s="83"/>
      <c r="H21" s="83"/>
      <c r="I21" s="83"/>
    </row>
    <row r="22" spans="1:9" x14ac:dyDescent="0.2">
      <c r="B22" s="83"/>
      <c r="C22" s="83"/>
      <c r="D22" s="83"/>
      <c r="E22" s="83"/>
      <c r="F22" s="83"/>
      <c r="G22" s="83"/>
      <c r="H22" s="83"/>
      <c r="I22" s="83"/>
    </row>
    <row r="24" spans="1:9" x14ac:dyDescent="0.2">
      <c r="A24" s="3" t="s">
        <v>235</v>
      </c>
    </row>
    <row r="25" spans="1:9" x14ac:dyDescent="0.2">
      <c r="A25" s="3" t="s">
        <v>240</v>
      </c>
    </row>
    <row r="26" spans="1:9" x14ac:dyDescent="0.2">
      <c r="A26" s="40" t="s">
        <v>236</v>
      </c>
      <c r="B26" s="3" t="str">
        <f>'ISIAN DATA'!G45</f>
        <v>RUSMAN</v>
      </c>
    </row>
    <row r="27" spans="1:9" x14ac:dyDescent="0.2">
      <c r="A27" s="40" t="s">
        <v>237</v>
      </c>
      <c r="B27" s="3" t="str">
        <f>'ISIAN DATA'!G52</f>
        <v>KHOSINGAH</v>
      </c>
    </row>
    <row r="29" spans="1:9" x14ac:dyDescent="0.2">
      <c r="A29" s="3" t="s">
        <v>238</v>
      </c>
    </row>
    <row r="30" spans="1:9" x14ac:dyDescent="0.2">
      <c r="A30" s="40" t="s">
        <v>5</v>
      </c>
      <c r="B30" s="3" t="str">
        <f>'ISIAN DATA'!G8</f>
        <v>SAEFULOH</v>
      </c>
    </row>
    <row r="31" spans="1:9" x14ac:dyDescent="0.2">
      <c r="A31" s="40" t="s">
        <v>234</v>
      </c>
      <c r="B31" s="38">
        <f>'ISIAN DATA'!K10</f>
        <v>26</v>
      </c>
    </row>
    <row r="32" spans="1:9" x14ac:dyDescent="0.2">
      <c r="A32" s="40" t="s">
        <v>12</v>
      </c>
      <c r="B32" s="3" t="str">
        <f>'ISIAN DATA'!G12</f>
        <v>KARYAWAN SWASTA</v>
      </c>
    </row>
    <row r="33" spans="1:9" x14ac:dyDescent="0.2">
      <c r="A33" s="40" t="s">
        <v>13</v>
      </c>
      <c r="B33" s="96" t="str">
        <f>'ISIAN DATA'!G16</f>
        <v>RT 004 RW 001 DESA JINGKANG KECAMATAN KARANGJAMBU KABUPATEN PURBALINGGA</v>
      </c>
      <c r="C33" s="96"/>
      <c r="D33" s="96"/>
      <c r="E33" s="96"/>
      <c r="F33" s="96"/>
      <c r="G33" s="96"/>
      <c r="H33" s="96"/>
      <c r="I33" s="96"/>
    </row>
    <row r="34" spans="1:9" x14ac:dyDescent="0.2">
      <c r="B34" s="96"/>
      <c r="C34" s="96"/>
      <c r="D34" s="96"/>
      <c r="E34" s="96"/>
      <c r="F34" s="96"/>
      <c r="G34" s="96"/>
      <c r="H34" s="96"/>
      <c r="I34" s="96"/>
    </row>
    <row r="35" spans="1:9" x14ac:dyDescent="0.2">
      <c r="A35" s="3" t="s">
        <v>241</v>
      </c>
    </row>
    <row r="36" spans="1:9" x14ac:dyDescent="0.2">
      <c r="A36" s="40" t="s">
        <v>236</v>
      </c>
      <c r="B36" s="3" t="str">
        <f>'ISIAN DATA'!G19</f>
        <v>KUNENI</v>
      </c>
    </row>
    <row r="37" spans="1:9" x14ac:dyDescent="0.2">
      <c r="A37" s="40" t="s">
        <v>237</v>
      </c>
      <c r="B37" s="3" t="str">
        <f>'ISIAN DATA'!G26</f>
        <v>DARYATI</v>
      </c>
    </row>
    <row r="39" spans="1:9" x14ac:dyDescent="0.2">
      <c r="A39" s="3" t="s">
        <v>242</v>
      </c>
      <c r="E39" s="104" t="s">
        <v>325</v>
      </c>
      <c r="F39" s="104"/>
      <c r="G39" s="105">
        <v>46240</v>
      </c>
      <c r="H39" s="105"/>
    </row>
    <row r="40" spans="1:9" x14ac:dyDescent="0.2">
      <c r="A40" s="3" t="s">
        <v>287</v>
      </c>
      <c r="B40" s="3" t="s">
        <v>285</v>
      </c>
    </row>
    <row r="42" spans="1:9" x14ac:dyDescent="0.2">
      <c r="A42" s="3" t="s">
        <v>243</v>
      </c>
    </row>
    <row r="45" spans="1:9" x14ac:dyDescent="0.2">
      <c r="H45" s="3" t="s">
        <v>244</v>
      </c>
    </row>
    <row r="46" spans="1:9" x14ac:dyDescent="0.2">
      <c r="H46" s="3" t="s">
        <v>245</v>
      </c>
      <c r="I46" s="3" t="s">
        <v>282</v>
      </c>
    </row>
    <row r="50" spans="1:8" ht="15" x14ac:dyDescent="0.25">
      <c r="H50" s="5" t="s">
        <v>262</v>
      </c>
    </row>
    <row r="53" spans="1:8" x14ac:dyDescent="0.2">
      <c r="A53" s="3" t="s">
        <v>246</v>
      </c>
    </row>
    <row r="54" spans="1:8" x14ac:dyDescent="0.2">
      <c r="A54" s="3" t="s">
        <v>286</v>
      </c>
    </row>
  </sheetData>
  <mergeCells count="8">
    <mergeCell ref="E39:F39"/>
    <mergeCell ref="G39:H39"/>
    <mergeCell ref="B21:I22"/>
    <mergeCell ref="B33:I34"/>
    <mergeCell ref="A4:I4"/>
    <mergeCell ref="A5:I5"/>
    <mergeCell ref="A6:D6"/>
    <mergeCell ref="G15:I15"/>
  </mergeCells>
  <pageMargins left="0.70866141732283472" right="0.70866141732283472" top="0.74803149606299213" bottom="0.74803149606299213" header="0.31496062992125984" footer="0.31496062992125984"/>
  <pageSetup paperSize="20000" orientation="portrait" horizontalDpi="4294967293" verticalDpi="4294967293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9"/>
  <sheetViews>
    <sheetView view="pageLayout" topLeftCell="A19" zoomScale="85" zoomScaleNormal="100" zoomScalePageLayoutView="85" workbookViewId="0">
      <selection activeCell="V41" sqref="V41"/>
    </sheetView>
  </sheetViews>
  <sheetFormatPr defaultRowHeight="14.25" x14ac:dyDescent="0.2"/>
  <cols>
    <col min="1" max="8" width="3.28515625" style="3" customWidth="1"/>
    <col min="9" max="9" width="2.85546875" style="3" customWidth="1"/>
    <col min="10" max="10" width="2.140625" style="3" customWidth="1"/>
    <col min="11" max="11" width="1.85546875" style="3" customWidth="1"/>
    <col min="12" max="12" width="3.28515625" style="3" customWidth="1"/>
    <col min="13" max="13" width="1.42578125" style="3" customWidth="1"/>
    <col min="14" max="15" width="3.28515625" style="3" customWidth="1"/>
    <col min="16" max="16" width="7.7109375" style="3" customWidth="1"/>
    <col min="17" max="17" width="3.28515625" style="3" customWidth="1"/>
    <col min="18" max="18" width="5.7109375" style="3" customWidth="1"/>
    <col min="19" max="21" width="3.28515625" style="3" customWidth="1"/>
    <col min="22" max="22" width="8.140625" style="3" customWidth="1"/>
    <col min="23" max="23" width="3.28515625" style="3" customWidth="1"/>
    <col min="24" max="24" width="2.140625" style="3" customWidth="1"/>
    <col min="25" max="26" width="1.5703125" style="3" customWidth="1"/>
    <col min="27" max="16384" width="9.140625" style="3"/>
  </cols>
  <sheetData>
    <row r="1" spans="1:27" ht="18" x14ac:dyDescent="0.25">
      <c r="AA1" s="70" t="str">
        <f>HYPERLINK("#'Isian Data'!A1", "⬅️ Kembali ke Isisan Data")</f>
        <v>⬅️ Kembali ke Isisan Data</v>
      </c>
    </row>
    <row r="3" spans="1:27" ht="18.75" customHeight="1" x14ac:dyDescent="0.2"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spans="1:27" ht="18.75" customHeight="1" x14ac:dyDescent="0.2">
      <c r="A4" s="88" t="s">
        <v>0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</row>
    <row r="5" spans="1:27" ht="18.75" customHeight="1" x14ac:dyDescent="0.2">
      <c r="A5" s="88" t="s">
        <v>1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</row>
    <row r="6" spans="1:27" ht="18.75" customHeight="1" x14ac:dyDescent="0.2">
      <c r="A6" s="88" t="s">
        <v>277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</row>
    <row r="7" spans="1:27" ht="9" customHeight="1" x14ac:dyDescent="0.2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spans="1:27" ht="15" x14ac:dyDescent="0.25">
      <c r="A8" s="43" t="s">
        <v>289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spans="1:27" ht="15" x14ac:dyDescent="0.25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spans="1:27" ht="15" x14ac:dyDescent="0.25">
      <c r="A10" s="45" t="s">
        <v>5</v>
      </c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5" t="s">
        <v>25</v>
      </c>
      <c r="M10" s="46" t="str">
        <f>'ISIAN DATA'!G34</f>
        <v>SUSILAH</v>
      </c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spans="1:27" ht="15" x14ac:dyDescent="0.25">
      <c r="A11" s="45" t="s">
        <v>73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5" t="s">
        <v>25</v>
      </c>
      <c r="M11" s="46" t="str">
        <f>'ISIAN DATA'!G35</f>
        <v>RUSMAN</v>
      </c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spans="1:27" ht="15" x14ac:dyDescent="0.25">
      <c r="A12" s="45" t="s">
        <v>7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5" t="s">
        <v>25</v>
      </c>
      <c r="M12" s="62" t="str">
        <f>'ISIAN DATA'!G37</f>
        <v>3327045109990007</v>
      </c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spans="1:27" ht="15" x14ac:dyDescent="0.25">
      <c r="A13" s="45" t="s">
        <v>131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5" t="s">
        <v>25</v>
      </c>
      <c r="M13" s="116" t="str">
        <f>'ISIAN DATA'!G36</f>
        <v>PEMALANG, 11 SEPTEMBER 1999</v>
      </c>
      <c r="N13" s="116"/>
      <c r="O13" s="116"/>
      <c r="P13" s="116"/>
      <c r="Q13" s="116"/>
      <c r="R13" s="116"/>
      <c r="S13" s="48"/>
      <c r="T13" s="48"/>
      <c r="U13" s="44"/>
      <c r="V13" s="44"/>
      <c r="W13" s="44"/>
      <c r="X13" s="44"/>
      <c r="Y13" s="44"/>
      <c r="Z13" s="44"/>
    </row>
    <row r="14" spans="1:27" ht="15" x14ac:dyDescent="0.25">
      <c r="A14" s="45" t="s">
        <v>290</v>
      </c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5" t="s">
        <v>25</v>
      </c>
      <c r="M14" s="45" t="str">
        <f>'ISIAN DATA'!G39</f>
        <v>BELUM KAWIN</v>
      </c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spans="1:27" ht="15" x14ac:dyDescent="0.25">
      <c r="A15" s="45" t="s">
        <v>10</v>
      </c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5" t="s">
        <v>25</v>
      </c>
      <c r="M15" s="45" t="s">
        <v>258</v>
      </c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spans="1:27" ht="15" x14ac:dyDescent="0.25">
      <c r="A16" s="45" t="s">
        <v>11</v>
      </c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5" t="s">
        <v>25</v>
      </c>
      <c r="M16" s="45" t="s">
        <v>259</v>
      </c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spans="1:26" ht="15" x14ac:dyDescent="0.25">
      <c r="A17" s="45" t="s">
        <v>12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5" t="s">
        <v>25</v>
      </c>
      <c r="M17" s="45" t="str">
        <f>'ISIAN DATA'!G12</f>
        <v>KARYAWAN SWASTA</v>
      </c>
      <c r="N17" s="44" t="str">
        <f>'ISIAN DATA'!G38</f>
        <v>BELUM/ TIDAK BEKERJA</v>
      </c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spans="1:26" ht="15" x14ac:dyDescent="0.25">
      <c r="A18" s="45" t="s">
        <v>13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5" t="s">
        <v>25</v>
      </c>
      <c r="M18" s="108" t="str">
        <f>'ISIAN DATA'!G41</f>
        <v>RT 002 RW 004 DESA TAMBI KECAMATAN WATUKUMPUL KABUPATEN PEMALANG</v>
      </c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48"/>
    </row>
    <row r="19" spans="1:26" ht="15" x14ac:dyDescent="0.25">
      <c r="A19" s="45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48"/>
    </row>
    <row r="20" spans="1:26" ht="15" x14ac:dyDescent="0.25">
      <c r="A20" s="115" t="s">
        <v>291</v>
      </c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49"/>
    </row>
    <row r="21" spans="1:26" ht="15" x14ac:dyDescent="0.2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spans="1:26" ht="15" x14ac:dyDescent="0.25">
      <c r="A22" s="108" t="s">
        <v>292</v>
      </c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</row>
    <row r="23" spans="1:26" ht="15" x14ac:dyDescent="0.25">
      <c r="A23" s="45"/>
      <c r="B23" s="45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spans="1:26" ht="15" x14ac:dyDescent="0.25">
      <c r="A24" s="45" t="s">
        <v>5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5" t="s">
        <v>25</v>
      </c>
      <c r="M24" s="46" t="str">
        <f>'ISIAN DATA'!G8</f>
        <v>SAEFULOH</v>
      </c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spans="1:26" ht="15" x14ac:dyDescent="0.25">
      <c r="A25" s="45" t="s">
        <v>78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5" t="s">
        <v>25</v>
      </c>
      <c r="M25" s="46" t="str">
        <f>'ISIAN DATA'!G9</f>
        <v>KUNENI</v>
      </c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spans="1:26" ht="14.25" customHeight="1" x14ac:dyDescent="0.25">
      <c r="A26" s="45" t="s">
        <v>7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5" t="s">
        <v>25</v>
      </c>
      <c r="M26" s="47" t="str">
        <f>'ISIAN DATA'!G11</f>
        <v>3303170704000001</v>
      </c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spans="1:26" ht="15" x14ac:dyDescent="0.25">
      <c r="A27" s="45" t="s">
        <v>131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5" t="s">
        <v>25</v>
      </c>
      <c r="M27" s="56" t="str">
        <f>'ISIAN DATA'!G10</f>
        <v>PURBALINGGA , 07 APRIL 2000</v>
      </c>
      <c r="N27" s="44"/>
      <c r="O27" s="44"/>
      <c r="P27" s="44"/>
      <c r="Q27" s="57"/>
      <c r="R27" s="57"/>
      <c r="S27" s="57"/>
      <c r="T27" s="57"/>
      <c r="U27" s="44"/>
      <c r="V27" s="44"/>
      <c r="W27" s="44"/>
      <c r="X27" s="44"/>
      <c r="Y27" s="44"/>
      <c r="Z27" s="44"/>
    </row>
    <row r="28" spans="1:26" ht="15" x14ac:dyDescent="0.25">
      <c r="A28" s="45" t="s">
        <v>290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5" t="s">
        <v>25</v>
      </c>
      <c r="M28" s="45" t="str">
        <f>'ISIAN DATA'!G13</f>
        <v>BELUM KAWIN</v>
      </c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spans="1:26" ht="15" x14ac:dyDescent="0.25">
      <c r="A29" s="45" t="s">
        <v>10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5" t="s">
        <v>25</v>
      </c>
      <c r="M29" s="45" t="s">
        <v>258</v>
      </c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spans="1:26" ht="15" x14ac:dyDescent="0.25">
      <c r="A30" s="45" t="s">
        <v>11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5" t="s">
        <v>25</v>
      </c>
      <c r="M30" s="45" t="s">
        <v>259</v>
      </c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spans="1:26" ht="15" x14ac:dyDescent="0.25">
      <c r="A31" s="45" t="s">
        <v>12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5" t="s">
        <v>25</v>
      </c>
      <c r="M31" s="45" t="str">
        <f>'ISIAN DATA'!G12</f>
        <v>KARYAWAN SWASTA</v>
      </c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spans="1:26" ht="15" customHeight="1" x14ac:dyDescent="0.25">
      <c r="A32" s="45" t="s">
        <v>13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5" t="s">
        <v>25</v>
      </c>
      <c r="M32" s="108" t="str">
        <f>'ISIAN DATA'!G16</f>
        <v>RT 004 RW 001 DESA JINGKANG KECAMATAN KARANGJAMBU KABUPATEN PURBALINGGA</v>
      </c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49"/>
    </row>
    <row r="33" spans="1:26" ht="15" x14ac:dyDescent="0.25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49"/>
    </row>
    <row r="34" spans="1:26" ht="15" x14ac:dyDescent="0.25">
      <c r="A34" s="108" t="s">
        <v>293</v>
      </c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49"/>
    </row>
    <row r="35" spans="1:26" ht="15" x14ac:dyDescent="0.25">
      <c r="A35" s="43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spans="1:26" ht="15" x14ac:dyDescent="0.25">
      <c r="A36" s="43" t="s">
        <v>294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spans="1:26" ht="15" x14ac:dyDescent="0.25">
      <c r="A37" s="43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spans="1:26" ht="14.25" customHeight="1" x14ac:dyDescent="0.25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51" t="str">
        <f>'Surat Keterangan Wali'!J56</f>
        <v>TAMBI</v>
      </c>
      <c r="T38" s="110" t="str">
        <f>'Surat Keterangan Wali'!L56</f>
        <v>, TAMBI, 29 JULI 2026</v>
      </c>
      <c r="U38" s="109"/>
      <c r="V38" s="109"/>
      <c r="W38" s="44"/>
      <c r="X38" s="44"/>
      <c r="Y38" s="44"/>
      <c r="Z38" s="44"/>
    </row>
    <row r="39" spans="1:26" ht="15" x14ac:dyDescent="0.25">
      <c r="A39" s="44"/>
      <c r="B39" s="52" t="s">
        <v>295</v>
      </c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3" t="s">
        <v>296</v>
      </c>
      <c r="T39" s="44"/>
      <c r="U39" s="44"/>
      <c r="V39" s="44"/>
      <c r="W39" s="44"/>
      <c r="X39" s="44"/>
      <c r="Y39" s="44"/>
      <c r="Z39" s="44"/>
    </row>
    <row r="40" spans="1:26" ht="15" x14ac:dyDescent="0.25">
      <c r="A40" s="43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spans="1:26" ht="15" x14ac:dyDescent="0.25">
      <c r="A41" s="53" t="s">
        <v>297</v>
      </c>
      <c r="B41" s="44"/>
      <c r="C41" s="53" t="s">
        <v>298</v>
      </c>
      <c r="D41" s="44"/>
      <c r="E41" s="44"/>
      <c r="F41" s="44"/>
      <c r="G41" s="44"/>
      <c r="H41" s="54" t="s">
        <v>299</v>
      </c>
      <c r="I41" s="44"/>
      <c r="J41" s="44"/>
      <c r="K41" s="44"/>
      <c r="L41" s="44"/>
      <c r="M41" s="44" t="s">
        <v>172</v>
      </c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spans="1:26" ht="15" x14ac:dyDescent="0.25">
      <c r="A42" s="45"/>
      <c r="B42" s="44"/>
      <c r="C42" s="45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111" t="s">
        <v>300</v>
      </c>
      <c r="Q42" s="112"/>
      <c r="R42" s="113"/>
      <c r="S42" s="44"/>
      <c r="T42" s="44"/>
      <c r="U42" s="44"/>
      <c r="V42" s="44"/>
      <c r="W42" s="44"/>
      <c r="X42" s="44"/>
      <c r="Y42" s="44"/>
      <c r="Z42" s="44"/>
    </row>
    <row r="43" spans="1:26" ht="15" x14ac:dyDescent="0.25">
      <c r="A43" s="45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spans="1:26" ht="15" x14ac:dyDescent="0.25">
      <c r="A44" s="53" t="s">
        <v>301</v>
      </c>
      <c r="B44" s="45"/>
      <c r="C44" s="53" t="s">
        <v>298</v>
      </c>
      <c r="D44" s="44"/>
      <c r="E44" s="44"/>
      <c r="F44" s="44"/>
      <c r="G44" s="44"/>
      <c r="H44" s="54" t="s">
        <v>299</v>
      </c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114" t="str">
        <f>M10</f>
        <v>SUSILAH</v>
      </c>
      <c r="T44" s="114"/>
      <c r="U44" s="114"/>
      <c r="V44" s="114"/>
      <c r="W44" s="44"/>
      <c r="X44" s="44"/>
      <c r="Y44" s="44"/>
      <c r="Z44" s="44"/>
    </row>
    <row r="55" spans="1:8" ht="15" x14ac:dyDescent="0.25">
      <c r="H55" s="5"/>
    </row>
    <row r="58" spans="1:8" x14ac:dyDescent="0.2">
      <c r="A58" s="3" t="s">
        <v>246</v>
      </c>
    </row>
    <row r="59" spans="1:8" x14ac:dyDescent="0.2">
      <c r="A59" s="3" t="s">
        <v>286</v>
      </c>
    </row>
  </sheetData>
  <mergeCells count="12">
    <mergeCell ref="M18:Y19"/>
    <mergeCell ref="A20:Y20"/>
    <mergeCell ref="A22:Z22"/>
    <mergeCell ref="A4:Z4"/>
    <mergeCell ref="A5:Z5"/>
    <mergeCell ref="A6:Z6"/>
    <mergeCell ref="M13:R13"/>
    <mergeCell ref="M32:Y33"/>
    <mergeCell ref="A34:Y34"/>
    <mergeCell ref="T38:V38"/>
    <mergeCell ref="P42:R42"/>
    <mergeCell ref="S44:V44"/>
  </mergeCells>
  <pageMargins left="0.45866141700000002" right="0.45866141700000002" top="0.74803149606299202" bottom="0.74803149606299202" header="0.31496062992126" footer="0.31496062992126"/>
  <pageSetup paperSize="169" orientation="portrait" horizontalDpi="4294967293" verticalDpi="4294967293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9"/>
  <sheetViews>
    <sheetView view="pageLayout" topLeftCell="A22" zoomScale="85" zoomScaleNormal="100" zoomScalePageLayoutView="85" workbookViewId="0">
      <selection activeCell="N40" sqref="N40"/>
    </sheetView>
  </sheetViews>
  <sheetFormatPr defaultRowHeight="14.25" x14ac:dyDescent="0.2"/>
  <cols>
    <col min="1" max="8" width="3.28515625" style="3" customWidth="1"/>
    <col min="9" max="9" width="2.85546875" style="3" customWidth="1"/>
    <col min="10" max="10" width="2.140625" style="3" customWidth="1"/>
    <col min="11" max="11" width="1.85546875" style="3" customWidth="1"/>
    <col min="12" max="12" width="3.28515625" style="3" customWidth="1"/>
    <col min="13" max="13" width="1.42578125" style="3" customWidth="1"/>
    <col min="14" max="15" width="3.28515625" style="3" customWidth="1"/>
    <col min="16" max="16" width="7.7109375" style="3" customWidth="1"/>
    <col min="17" max="17" width="3.28515625" style="3" customWidth="1"/>
    <col min="18" max="18" width="5.7109375" style="3" customWidth="1"/>
    <col min="19" max="21" width="3.28515625" style="3" customWidth="1"/>
    <col min="22" max="22" width="8.140625" style="3" customWidth="1"/>
    <col min="23" max="23" width="3.28515625" style="3" customWidth="1"/>
    <col min="24" max="24" width="2.140625" style="3" customWidth="1"/>
    <col min="25" max="26" width="1.5703125" style="3" customWidth="1"/>
    <col min="27" max="16384" width="9.140625" style="3"/>
  </cols>
  <sheetData>
    <row r="1" spans="1:27" ht="18" x14ac:dyDescent="0.25">
      <c r="AA1" s="70" t="str">
        <f>HYPERLINK("#'Isian Data'!A1", "⬅️ Kembali ke Isisan Data")</f>
        <v>⬅️ Kembali ke Isisan Data</v>
      </c>
    </row>
    <row r="3" spans="1:27" ht="18.75" customHeight="1" x14ac:dyDescent="0.2"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spans="1:27" ht="18.75" customHeight="1" x14ac:dyDescent="0.2">
      <c r="A4" s="88" t="s">
        <v>0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</row>
    <row r="5" spans="1:27" ht="18.75" customHeight="1" x14ac:dyDescent="0.2">
      <c r="A5" s="88" t="s">
        <v>1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</row>
    <row r="6" spans="1:27" ht="18.75" customHeight="1" x14ac:dyDescent="0.2">
      <c r="A6" s="88" t="s">
        <v>277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</row>
    <row r="7" spans="1:27" ht="9" customHeight="1" x14ac:dyDescent="0.2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spans="1:27" ht="15" x14ac:dyDescent="0.25">
      <c r="A8" s="43" t="s">
        <v>289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spans="1:27" ht="15" x14ac:dyDescent="0.25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spans="1:27" ht="15" x14ac:dyDescent="0.25">
      <c r="A10" s="66" t="s">
        <v>5</v>
      </c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66" t="s">
        <v>25</v>
      </c>
      <c r="M10" s="46" t="s">
        <v>313</v>
      </c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spans="1:27" ht="15" x14ac:dyDescent="0.25">
      <c r="A11" s="66" t="s">
        <v>73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66" t="s">
        <v>25</v>
      </c>
      <c r="M11" s="46" t="s">
        <v>314</v>
      </c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spans="1:27" ht="15" x14ac:dyDescent="0.25">
      <c r="A12" s="66" t="s">
        <v>7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66" t="s">
        <v>25</v>
      </c>
      <c r="M12" s="62" t="s">
        <v>321</v>
      </c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spans="1:27" ht="15" x14ac:dyDescent="0.25">
      <c r="A13" s="66" t="s">
        <v>131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66" t="s">
        <v>25</v>
      </c>
      <c r="M13" s="116" t="s">
        <v>315</v>
      </c>
      <c r="N13" s="116"/>
      <c r="O13" s="116"/>
      <c r="P13" s="116"/>
      <c r="Q13" s="117"/>
      <c r="R13" s="117"/>
      <c r="S13" s="79"/>
      <c r="T13" s="79"/>
      <c r="U13" s="44"/>
      <c r="V13" s="44"/>
      <c r="W13" s="44"/>
      <c r="X13" s="44"/>
      <c r="Y13" s="44"/>
      <c r="Z13" s="44"/>
    </row>
    <row r="14" spans="1:27" ht="15" x14ac:dyDescent="0.25">
      <c r="A14" s="66" t="s">
        <v>290</v>
      </c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66" t="s">
        <v>25</v>
      </c>
      <c r="M14" s="77" t="s">
        <v>307</v>
      </c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spans="1:27" ht="15" x14ac:dyDescent="0.25">
      <c r="A15" s="66" t="s">
        <v>10</v>
      </c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66" t="s">
        <v>25</v>
      </c>
      <c r="M15" s="77" t="s">
        <v>258</v>
      </c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spans="1:27" ht="15" x14ac:dyDescent="0.25">
      <c r="A16" s="66" t="s">
        <v>11</v>
      </c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66" t="s">
        <v>25</v>
      </c>
      <c r="M16" s="77" t="s">
        <v>259</v>
      </c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spans="1:26" ht="15" x14ac:dyDescent="0.25">
      <c r="A17" s="66" t="s">
        <v>12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66" t="s">
        <v>25</v>
      </c>
      <c r="M17" s="77" t="s">
        <v>322</v>
      </c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spans="1:26" ht="15" customHeight="1" x14ac:dyDescent="0.25">
      <c r="A18" s="66" t="s">
        <v>13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66" t="s">
        <v>25</v>
      </c>
      <c r="M18" s="108" t="s">
        <v>316</v>
      </c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65"/>
    </row>
    <row r="19" spans="1:26" ht="15" x14ac:dyDescent="0.25">
      <c r="A19" s="66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65"/>
    </row>
    <row r="20" spans="1:26" ht="15" x14ac:dyDescent="0.25">
      <c r="A20" s="115" t="s">
        <v>291</v>
      </c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49"/>
    </row>
    <row r="21" spans="1:26" ht="15" x14ac:dyDescent="0.2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</row>
    <row r="22" spans="1:26" ht="15" x14ac:dyDescent="0.25">
      <c r="A22" s="108" t="s">
        <v>292</v>
      </c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</row>
    <row r="23" spans="1:26" ht="15" x14ac:dyDescent="0.25">
      <c r="A23" s="66"/>
      <c r="B23" s="66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spans="1:26" ht="15" x14ac:dyDescent="0.25">
      <c r="A24" s="66" t="s">
        <v>5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66" t="s">
        <v>25</v>
      </c>
      <c r="M24" s="46" t="s">
        <v>317</v>
      </c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spans="1:26" ht="15" x14ac:dyDescent="0.25">
      <c r="A25" s="66" t="s">
        <v>78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66" t="s">
        <v>25</v>
      </c>
      <c r="M25" s="46" t="s">
        <v>318</v>
      </c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spans="1:26" ht="14.25" customHeight="1" x14ac:dyDescent="0.25">
      <c r="A26" s="66" t="s">
        <v>7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66" t="s">
        <v>25</v>
      </c>
      <c r="M26" s="47" t="s">
        <v>323</v>
      </c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spans="1:26" ht="15" x14ac:dyDescent="0.25">
      <c r="A27" s="66" t="s">
        <v>131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66" t="s">
        <v>25</v>
      </c>
      <c r="M27" s="77" t="s">
        <v>319</v>
      </c>
      <c r="N27" s="44"/>
      <c r="O27" s="44"/>
      <c r="P27" s="44"/>
      <c r="Q27" s="80"/>
      <c r="R27" s="80"/>
      <c r="S27" s="80"/>
      <c r="T27" s="80"/>
      <c r="U27" s="44"/>
      <c r="V27" s="44"/>
      <c r="W27" s="44"/>
      <c r="X27" s="44"/>
      <c r="Y27" s="44"/>
      <c r="Z27" s="44"/>
    </row>
    <row r="28" spans="1:26" ht="15" x14ac:dyDescent="0.25">
      <c r="A28" s="66" t="s">
        <v>290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66" t="s">
        <v>25</v>
      </c>
      <c r="M28" s="77" t="s">
        <v>307</v>
      </c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spans="1:26" ht="15" x14ac:dyDescent="0.25">
      <c r="A29" s="66" t="s">
        <v>10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66" t="s">
        <v>25</v>
      </c>
      <c r="M29" s="77" t="s">
        <v>258</v>
      </c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spans="1:26" ht="15" x14ac:dyDescent="0.25">
      <c r="A30" s="66" t="s">
        <v>11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66" t="s">
        <v>25</v>
      </c>
      <c r="M30" s="77" t="s">
        <v>259</v>
      </c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spans="1:26" ht="15" x14ac:dyDescent="0.25">
      <c r="A31" s="66" t="s">
        <v>12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66" t="s">
        <v>25</v>
      </c>
      <c r="M31" s="77" t="s">
        <v>322</v>
      </c>
      <c r="N31" s="44" t="s">
        <v>308</v>
      </c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spans="1:26" ht="15" customHeight="1" x14ac:dyDescent="0.25">
      <c r="A32" s="66" t="s">
        <v>13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66" t="s">
        <v>25</v>
      </c>
      <c r="M32" s="108" t="s">
        <v>320</v>
      </c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49"/>
    </row>
    <row r="33" spans="1:26" ht="15" x14ac:dyDescent="0.25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49"/>
    </row>
    <row r="34" spans="1:26" ht="15" x14ac:dyDescent="0.25">
      <c r="A34" s="108" t="s">
        <v>293</v>
      </c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49"/>
    </row>
    <row r="35" spans="1:26" ht="15" x14ac:dyDescent="0.25">
      <c r="A35" s="43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spans="1:26" ht="15" x14ac:dyDescent="0.25">
      <c r="A36" s="43" t="s">
        <v>294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spans="1:26" ht="15" x14ac:dyDescent="0.25">
      <c r="A37" s="43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spans="1:26" ht="14.25" customHeight="1" x14ac:dyDescent="0.25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51" t="str">
        <f>'Surat Keterangan Wali'!J56</f>
        <v>TAMBI</v>
      </c>
      <c r="T38" s="110" t="str">
        <f>'Surat Keterangan Wali'!L56</f>
        <v>, TAMBI, 29 JULI 2026</v>
      </c>
      <c r="U38" s="109"/>
      <c r="V38" s="109"/>
      <c r="W38" s="44"/>
      <c r="X38" s="44"/>
      <c r="Y38" s="44"/>
      <c r="Z38" s="44"/>
    </row>
    <row r="39" spans="1:26" ht="15" x14ac:dyDescent="0.25">
      <c r="A39" s="44"/>
      <c r="B39" s="52" t="s">
        <v>295</v>
      </c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3" t="s">
        <v>296</v>
      </c>
      <c r="T39" s="44"/>
      <c r="U39" s="44"/>
      <c r="V39" s="44"/>
      <c r="W39" s="44"/>
      <c r="X39" s="44"/>
      <c r="Y39" s="44"/>
      <c r="Z39" s="44"/>
    </row>
    <row r="40" spans="1:26" ht="15" x14ac:dyDescent="0.25">
      <c r="A40" s="43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spans="1:26" ht="15" x14ac:dyDescent="0.25">
      <c r="A41" s="53" t="s">
        <v>297</v>
      </c>
      <c r="B41" s="44"/>
      <c r="C41" s="53" t="s">
        <v>298</v>
      </c>
      <c r="D41" s="44"/>
      <c r="E41" s="44"/>
      <c r="F41" s="44"/>
      <c r="G41" s="44"/>
      <c r="H41" s="54" t="s">
        <v>299</v>
      </c>
      <c r="I41" s="44"/>
      <c r="J41" s="44"/>
      <c r="K41" s="44"/>
      <c r="L41" s="44"/>
      <c r="M41" s="44" t="s">
        <v>172</v>
      </c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spans="1:26" ht="15" x14ac:dyDescent="0.25">
      <c r="A42" s="66"/>
      <c r="B42" s="44"/>
      <c r="C42" s="66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111" t="s">
        <v>300</v>
      </c>
      <c r="Q42" s="112"/>
      <c r="R42" s="113"/>
      <c r="S42" s="44"/>
      <c r="T42" s="44"/>
      <c r="U42" s="44"/>
      <c r="V42" s="44"/>
      <c r="W42" s="44"/>
      <c r="X42" s="44"/>
      <c r="Y42" s="44"/>
      <c r="Z42" s="44"/>
    </row>
    <row r="43" spans="1:26" ht="15" x14ac:dyDescent="0.25">
      <c r="A43" s="66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spans="1:26" ht="15" x14ac:dyDescent="0.25">
      <c r="A44" s="53" t="s">
        <v>301</v>
      </c>
      <c r="B44" s="66"/>
      <c r="C44" s="53" t="s">
        <v>298</v>
      </c>
      <c r="D44" s="44"/>
      <c r="E44" s="44"/>
      <c r="F44" s="44"/>
      <c r="G44" s="44"/>
      <c r="H44" s="54" t="s">
        <v>299</v>
      </c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114" t="str">
        <f>M10</f>
        <v>UNWAN FALAHI</v>
      </c>
      <c r="T44" s="114"/>
      <c r="U44" s="114"/>
      <c r="V44" s="114"/>
      <c r="W44" s="44"/>
      <c r="X44" s="44"/>
      <c r="Y44" s="44"/>
      <c r="Z44" s="44"/>
    </row>
    <row r="55" spans="1:8" ht="15" x14ac:dyDescent="0.25">
      <c r="H55" s="5"/>
    </row>
    <row r="58" spans="1:8" x14ac:dyDescent="0.2">
      <c r="A58" s="3" t="s">
        <v>246</v>
      </c>
    </row>
    <row r="59" spans="1:8" x14ac:dyDescent="0.2">
      <c r="A59" s="3" t="s">
        <v>286</v>
      </c>
    </row>
  </sheetData>
  <mergeCells count="12">
    <mergeCell ref="S44:V44"/>
    <mergeCell ref="A4:Z4"/>
    <mergeCell ref="A5:Z5"/>
    <mergeCell ref="A6:Z6"/>
    <mergeCell ref="M13:R13"/>
    <mergeCell ref="M18:Y19"/>
    <mergeCell ref="A20:Y20"/>
    <mergeCell ref="A22:Z22"/>
    <mergeCell ref="M32:Y33"/>
    <mergeCell ref="A34:Y34"/>
    <mergeCell ref="T38:V38"/>
    <mergeCell ref="P42:R42"/>
  </mergeCells>
  <pageMargins left="0.45866141700000002" right="0.45866141700000002" top="0.74803149606299202" bottom="0.74803149606299202" header="0.31496062992126" footer="0.31496062992126"/>
  <pageSetup paperSize="169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10</vt:i4>
      </vt:variant>
    </vt:vector>
  </HeadingPairs>
  <TitlesOfParts>
    <vt:vector size="28" baseType="lpstr">
      <vt:lpstr>ISIAN DATA</vt:lpstr>
      <vt:lpstr>N1 PEREMPUAN</vt:lpstr>
      <vt:lpstr>N1 LAKI-LAKI</vt:lpstr>
      <vt:lpstr>N2 PEREMPUAN</vt:lpstr>
      <vt:lpstr>N2 LAKI-LAKI</vt:lpstr>
      <vt:lpstr>N4 PEREMPUAN</vt:lpstr>
      <vt:lpstr>N4 LAKI-LAKI</vt:lpstr>
      <vt:lpstr>N5 LAKI-LAKI</vt:lpstr>
      <vt:lpstr>N5 PEREMPUAN</vt:lpstr>
      <vt:lpstr>N6 PEREMPUAN</vt:lpstr>
      <vt:lpstr>N6 LAKI-LAKI</vt:lpstr>
      <vt:lpstr>RDS</vt:lpstr>
      <vt:lpstr>Kendali Pelaksanaan Ijab</vt:lpstr>
      <vt:lpstr>Pernyataan Wali Hakim</vt:lpstr>
      <vt:lpstr>Surat Keterangan Wali</vt:lpstr>
      <vt:lpstr>Dispensasi</vt:lpstr>
      <vt:lpstr>STATUS CATIN PR</vt:lpstr>
      <vt:lpstr>STATUS LAKI-LAKI</vt:lpstr>
      <vt:lpstr>Dispensasi!Print_Area</vt:lpstr>
      <vt:lpstr>'N1 LAKI-LAKI'!Print_Area</vt:lpstr>
      <vt:lpstr>'N1 PEREMPUAN'!Print_Area</vt:lpstr>
      <vt:lpstr>'N2 LAKI-LAKI'!Print_Area</vt:lpstr>
      <vt:lpstr>'N2 PEREMPUAN'!Print_Area</vt:lpstr>
      <vt:lpstr>'Pernyataan Wali Hakim'!Print_Area</vt:lpstr>
      <vt:lpstr>RDS!Print_Area</vt:lpstr>
      <vt:lpstr>'STATUS CATIN PR'!Print_Area</vt:lpstr>
      <vt:lpstr>'STATUS LAKI-LAKI'!Print_Area</vt:lpstr>
      <vt:lpstr>'Surat Keterangan Wali'!Print_Area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UMAR</dc:creator>
  <cp:lastModifiedBy>ADMIN</cp:lastModifiedBy>
  <cp:lastPrinted>2026-07-29T03:30:11Z</cp:lastPrinted>
  <dcterms:created xsi:type="dcterms:W3CDTF">2026-04-14T00:41:12Z</dcterms:created>
  <dcterms:modified xsi:type="dcterms:W3CDTF">2026-07-29T03:37:15Z</dcterms:modified>
</cp:coreProperties>
</file>